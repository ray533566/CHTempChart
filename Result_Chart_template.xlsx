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"/>
    </mc:Choice>
  </mc:AlternateContent>
  <xr:revisionPtr revIDLastSave="0" documentId="13_ncr:1_{BD757FFD-7FEF-4133-B8BE-8E621339E645}" xr6:coauthVersionLast="36" xr6:coauthVersionMax="36" xr10:uidLastSave="{00000000-0000-0000-0000-000000000000}"/>
  <bookViews>
    <workbookView xWindow="0" yWindow="0" windowWidth="16380" windowHeight="8196" tabRatio="500" xr2:uid="{00000000-000D-0000-FFFF-FFFF00000000}"/>
  </bookViews>
  <sheets>
    <sheet name="Raw Data" sheetId="1" r:id="rId1"/>
    <sheet name="Temperature Distribution" sheetId="2" r:id="rId2"/>
    <sheet name="CH Distribution" sheetId="3" r:id="rId3"/>
  </sheets>
  <calcPr calcId="191029"/>
</workbook>
</file>

<file path=xl/calcChain.xml><?xml version="1.0" encoding="utf-8"?>
<calcChain xmlns="http://schemas.openxmlformats.org/spreadsheetml/2006/main">
  <c r="A5" i="3" l="1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M9" i="2"/>
  <c r="L9" i="2"/>
  <c r="K9" i="2"/>
  <c r="J9" i="2"/>
  <c r="I9" i="2"/>
  <c r="H9" i="2"/>
  <c r="G9" i="2"/>
  <c r="F9" i="2"/>
  <c r="E9" i="2"/>
  <c r="D9" i="2"/>
  <c r="C9" i="2"/>
  <c r="B9" i="2"/>
  <c r="A9" i="2"/>
  <c r="M8" i="2"/>
  <c r="L8" i="2"/>
  <c r="K8" i="2"/>
  <c r="J8" i="2"/>
  <c r="I8" i="2"/>
  <c r="H8" i="2"/>
  <c r="G8" i="2"/>
  <c r="F8" i="2"/>
  <c r="E8" i="2"/>
  <c r="D8" i="2"/>
  <c r="C8" i="2"/>
  <c r="B8" i="2"/>
  <c r="A8" i="2"/>
  <c r="M7" i="2"/>
  <c r="L7" i="2"/>
  <c r="K7" i="2"/>
  <c r="J7" i="2"/>
  <c r="I7" i="2"/>
  <c r="H7" i="2"/>
  <c r="G7" i="2"/>
  <c r="F7" i="2"/>
  <c r="E7" i="2"/>
  <c r="D7" i="2"/>
  <c r="C7" i="2"/>
  <c r="B7" i="2"/>
  <c r="A7" i="2"/>
  <c r="M6" i="2"/>
  <c r="L6" i="2"/>
  <c r="K6" i="2"/>
  <c r="J6" i="2"/>
  <c r="I6" i="2"/>
  <c r="H6" i="2"/>
  <c r="G6" i="2"/>
  <c r="F6" i="2"/>
  <c r="E6" i="2"/>
  <c r="D6" i="2"/>
  <c r="C6" i="2"/>
  <c r="B6" i="2"/>
  <c r="A6" i="2"/>
  <c r="M5" i="2"/>
  <c r="L5" i="2"/>
  <c r="K5" i="2"/>
  <c r="J5" i="2"/>
  <c r="I5" i="2"/>
  <c r="H5" i="2"/>
  <c r="G5" i="2"/>
  <c r="F5" i="2"/>
  <c r="E5" i="2"/>
  <c r="D5" i="2"/>
  <c r="C5" i="2"/>
  <c r="B5" i="2"/>
  <c r="A5" i="2"/>
  <c r="M4" i="2"/>
  <c r="L4" i="2"/>
  <c r="K4" i="2"/>
  <c r="J4" i="2"/>
  <c r="I4" i="2"/>
  <c r="H4" i="2"/>
  <c r="G4" i="2"/>
  <c r="F4" i="2"/>
  <c r="E4" i="2"/>
  <c r="D4" i="2"/>
  <c r="C4" i="2"/>
  <c r="B4" i="2"/>
  <c r="A4" i="2"/>
  <c r="M3" i="2"/>
  <c r="L3" i="2"/>
  <c r="K3" i="2"/>
  <c r="J3" i="2"/>
  <c r="I3" i="2"/>
  <c r="H3" i="2"/>
  <c r="G3" i="2"/>
  <c r="F3" i="2"/>
  <c r="E3" i="2"/>
  <c r="D3" i="2"/>
  <c r="C3" i="2"/>
  <c r="B3" i="2"/>
  <c r="A3" i="2"/>
  <c r="M2" i="2"/>
  <c r="L2" i="2"/>
  <c r="K2" i="2"/>
  <c r="X9" i="2" s="1"/>
  <c r="J2" i="2"/>
  <c r="I2" i="2"/>
  <c r="H2" i="2"/>
  <c r="G2" i="2"/>
  <c r="F2" i="2"/>
  <c r="E2" i="2"/>
  <c r="D2" i="2"/>
  <c r="C2" i="2"/>
  <c r="B2" i="2"/>
  <c r="A2" i="2"/>
  <c r="M1" i="2"/>
  <c r="L1" i="2"/>
  <c r="K1" i="2"/>
  <c r="J1" i="2"/>
  <c r="I1" i="2"/>
  <c r="H1" i="2"/>
  <c r="G1" i="2"/>
  <c r="F1" i="2"/>
  <c r="E1" i="2"/>
  <c r="D1" i="2"/>
  <c r="C1" i="2"/>
  <c r="B1" i="2"/>
  <c r="A1" i="2"/>
  <c r="AB8" i="2" l="1"/>
  <c r="S7" i="2"/>
  <c r="I5" i="3"/>
  <c r="H5" i="3"/>
  <c r="G5" i="3"/>
  <c r="F5" i="3"/>
  <c r="E5" i="3"/>
  <c r="C5" i="3"/>
  <c r="K5" i="3" s="1"/>
  <c r="A6" i="3"/>
  <c r="AB4" i="2"/>
  <c r="AB5" i="2"/>
  <c r="X7" i="2"/>
  <c r="W7" i="2"/>
  <c r="V7" i="2"/>
  <c r="U7" i="2"/>
  <c r="T7" i="2"/>
  <c r="R7" i="2"/>
  <c r="S9" i="2"/>
  <c r="AB7" i="2"/>
  <c r="T9" i="2"/>
  <c r="AB6" i="2"/>
  <c r="D5" i="3"/>
  <c r="U9" i="2"/>
  <c r="V9" i="2"/>
  <c r="B5" i="3"/>
  <c r="J5" i="3" s="1"/>
  <c r="L5" i="3" s="1"/>
  <c r="W9" i="2"/>
  <c r="AB3" i="2"/>
  <c r="AB2" i="2"/>
  <c r="R9" i="2"/>
  <c r="R5" i="2" l="1"/>
  <c r="Y7" i="2"/>
  <c r="S8" i="2" s="1"/>
  <c r="T5" i="2"/>
  <c r="U10" i="2"/>
  <c r="V5" i="2"/>
  <c r="U5" i="2"/>
  <c r="A7" i="3"/>
  <c r="W8" i="2"/>
  <c r="W5" i="2"/>
  <c r="Y9" i="2"/>
  <c r="X10" i="2" s="1"/>
  <c r="R10" i="2"/>
  <c r="I6" i="3"/>
  <c r="G6" i="3"/>
  <c r="K6" i="3" s="1"/>
  <c r="B6" i="3"/>
  <c r="J6" i="3" s="1"/>
  <c r="L6" i="3" s="1"/>
  <c r="H6" i="3"/>
  <c r="F6" i="3"/>
  <c r="E6" i="3"/>
  <c r="D6" i="3"/>
  <c r="C6" i="3"/>
  <c r="V10" i="2"/>
  <c r="X5" i="2"/>
  <c r="X8" i="2"/>
  <c r="S5" i="2"/>
  <c r="F7" i="3" l="1"/>
  <c r="E7" i="3"/>
  <c r="D7" i="3"/>
  <c r="B7" i="3"/>
  <c r="I7" i="3"/>
  <c r="H7" i="3"/>
  <c r="G7" i="3"/>
  <c r="C7" i="3"/>
  <c r="U6" i="2"/>
  <c r="T8" i="2"/>
  <c r="A8" i="3"/>
  <c r="A9" i="3" s="1"/>
  <c r="U8" i="2"/>
  <c r="S6" i="2"/>
  <c r="T10" i="2"/>
  <c r="S10" i="2"/>
  <c r="Y5" i="2"/>
  <c r="W6" i="2" s="1"/>
  <c r="R8" i="2"/>
  <c r="V6" i="2"/>
  <c r="V8" i="2"/>
  <c r="W10" i="2"/>
  <c r="R6" i="2" l="1"/>
  <c r="X6" i="2"/>
  <c r="E8" i="3"/>
  <c r="D8" i="3"/>
  <c r="B8" i="3"/>
  <c r="C8" i="3"/>
  <c r="J8" i="3"/>
  <c r="I8" i="3"/>
  <c r="H8" i="3"/>
  <c r="F8" i="3"/>
  <c r="G8" i="3"/>
  <c r="A10" i="3"/>
  <c r="J7" i="3"/>
  <c r="L7" i="3" s="1"/>
  <c r="K7" i="3"/>
  <c r="D9" i="3"/>
  <c r="C9" i="3"/>
  <c r="K9" i="3" s="1"/>
  <c r="B9" i="3"/>
  <c r="I9" i="3"/>
  <c r="H9" i="3"/>
  <c r="G9" i="3"/>
  <c r="F9" i="3"/>
  <c r="J9" i="3" s="1"/>
  <c r="L9" i="3" s="1"/>
  <c r="E9" i="3"/>
  <c r="T6" i="2"/>
  <c r="K8" i="3" l="1"/>
  <c r="L8" i="3" s="1"/>
  <c r="F10" i="3"/>
  <c r="D10" i="3"/>
  <c r="C10" i="3"/>
  <c r="B10" i="3"/>
  <c r="J10" i="3" s="1"/>
  <c r="L10" i="3" s="1"/>
  <c r="I10" i="3"/>
  <c r="H10" i="3"/>
  <c r="K10" i="3"/>
  <c r="G10" i="3"/>
  <c r="E10" i="3"/>
  <c r="A11" i="3"/>
  <c r="E11" i="3" l="1"/>
  <c r="D11" i="3"/>
  <c r="J11" i="3" s="1"/>
  <c r="L11" i="3" s="1"/>
  <c r="C11" i="3"/>
  <c r="K11" i="3" s="1"/>
  <c r="B11" i="3"/>
  <c r="I11" i="3"/>
  <c r="H11" i="3"/>
  <c r="G11" i="3"/>
  <c r="F11" i="3"/>
  <c r="A12" i="3"/>
  <c r="A13" i="3" l="1"/>
  <c r="A14" i="3" s="1"/>
  <c r="E12" i="3"/>
  <c r="K12" i="3" s="1"/>
  <c r="F12" i="3"/>
  <c r="D12" i="3"/>
  <c r="C12" i="3"/>
  <c r="B12" i="3"/>
  <c r="J12" i="3"/>
  <c r="L12" i="3" s="1"/>
  <c r="I12" i="3"/>
  <c r="H12" i="3"/>
  <c r="G12" i="3"/>
  <c r="D14" i="3" l="1"/>
  <c r="G14" i="3"/>
  <c r="F14" i="3"/>
  <c r="E14" i="3"/>
  <c r="C14" i="3"/>
  <c r="B14" i="3"/>
  <c r="I14" i="3"/>
  <c r="K14" i="3" s="1"/>
  <c r="H14" i="3"/>
  <c r="J14" i="3" s="1"/>
  <c r="L14" i="3" s="1"/>
  <c r="A15" i="3"/>
  <c r="A16" i="3" s="1"/>
  <c r="E16" i="3" s="1"/>
  <c r="C13" i="3"/>
  <c r="K13" i="3" s="1"/>
  <c r="E13" i="3"/>
  <c r="F13" i="3"/>
  <c r="D13" i="3"/>
  <c r="J13" i="3" s="1"/>
  <c r="G13" i="3"/>
  <c r="H13" i="3"/>
  <c r="I13" i="3"/>
  <c r="B13" i="3"/>
  <c r="L13" i="3"/>
  <c r="F15" i="3" l="1"/>
  <c r="E15" i="3"/>
  <c r="G15" i="3"/>
  <c r="I15" i="3"/>
  <c r="H15" i="3"/>
  <c r="A17" i="3"/>
  <c r="C17" i="3" s="1"/>
  <c r="K17" i="3" s="1"/>
  <c r="F16" i="3"/>
  <c r="G16" i="3"/>
  <c r="H16" i="3"/>
  <c r="I16" i="3"/>
  <c r="K16" i="3"/>
  <c r="B16" i="3"/>
  <c r="J16" i="3" s="1"/>
  <c r="L16" i="3" s="1"/>
  <c r="C16" i="3"/>
  <c r="B15" i="3"/>
  <c r="J15" i="3" s="1"/>
  <c r="L15" i="3" s="1"/>
  <c r="D16" i="3"/>
  <c r="C15" i="3"/>
  <c r="K15" i="3" s="1"/>
  <c r="D15" i="3"/>
  <c r="H17" i="3" l="1"/>
  <c r="B17" i="3"/>
  <c r="D17" i="3"/>
  <c r="E17" i="3"/>
  <c r="A18" i="3"/>
  <c r="A19" i="3" s="1"/>
  <c r="F17" i="3"/>
  <c r="J17" i="3" s="1"/>
  <c r="L17" i="3" s="1"/>
  <c r="G17" i="3"/>
  <c r="I17" i="3"/>
  <c r="B18" i="3" l="1"/>
  <c r="J18" i="3" s="1"/>
  <c r="L18" i="3" s="1"/>
  <c r="E18" i="3"/>
  <c r="C18" i="3"/>
  <c r="K18" i="3" s="1"/>
  <c r="F18" i="3"/>
  <c r="G18" i="3"/>
  <c r="H18" i="3"/>
  <c r="I18" i="3"/>
  <c r="D18" i="3"/>
  <c r="H19" i="3"/>
  <c r="I19" i="3"/>
  <c r="C19" i="3"/>
  <c r="K19" i="3" s="1"/>
  <c r="B19" i="3"/>
  <c r="E19" i="3"/>
  <c r="G19" i="3"/>
  <c r="F19" i="3"/>
  <c r="D19" i="3"/>
  <c r="J19" i="3" s="1"/>
  <c r="L19" i="3" s="1"/>
  <c r="A20" i="3"/>
  <c r="C20" i="3" l="1"/>
  <c r="B20" i="3"/>
  <c r="H20" i="3"/>
  <c r="G20" i="3"/>
  <c r="F20" i="3"/>
  <c r="I20" i="3"/>
  <c r="E20" i="3"/>
  <c r="K20" i="3" s="1"/>
  <c r="D20" i="3"/>
  <c r="J20" i="3" s="1"/>
  <c r="L20" i="3" s="1"/>
  <c r="A21" i="3"/>
  <c r="H21" i="3" l="1"/>
  <c r="G21" i="3"/>
  <c r="F21" i="3"/>
  <c r="E21" i="3"/>
  <c r="D21" i="3"/>
  <c r="B21" i="3"/>
  <c r="J21" i="3" s="1"/>
  <c r="I21" i="3"/>
  <c r="C21" i="3"/>
  <c r="K21" i="3" s="1"/>
  <c r="A22" i="3"/>
  <c r="L21" i="3" l="1"/>
  <c r="D22" i="3"/>
  <c r="I22" i="3"/>
  <c r="G22" i="3"/>
  <c r="F22" i="3"/>
  <c r="C22" i="3"/>
  <c r="K22" i="3" s="1"/>
  <c r="H22" i="3"/>
  <c r="E22" i="3"/>
  <c r="B22" i="3"/>
  <c r="J22" i="3" s="1"/>
  <c r="A23" i="3"/>
  <c r="L22" i="3" l="1"/>
  <c r="H23" i="3"/>
  <c r="F23" i="3"/>
  <c r="E23" i="3"/>
  <c r="D23" i="3"/>
  <c r="I23" i="3"/>
  <c r="G23" i="3"/>
  <c r="C23" i="3"/>
  <c r="K23" i="3" s="1"/>
  <c r="B23" i="3"/>
  <c r="J23" i="3" s="1"/>
  <c r="L23" i="3" s="1"/>
  <c r="A24" i="3"/>
  <c r="F24" i="3" l="1"/>
  <c r="E24" i="3"/>
  <c r="D24" i="3"/>
  <c r="C24" i="3"/>
  <c r="K24" i="3" s="1"/>
  <c r="B24" i="3"/>
  <c r="J24" i="3" s="1"/>
  <c r="L24" i="3" s="1"/>
  <c r="I24" i="3"/>
  <c r="G24" i="3"/>
  <c r="H24" i="3"/>
  <c r="A25" i="3"/>
  <c r="I25" i="3" l="1"/>
  <c r="H25" i="3"/>
  <c r="G25" i="3"/>
  <c r="E25" i="3"/>
  <c r="D25" i="3"/>
  <c r="F25" i="3"/>
  <c r="C25" i="3"/>
  <c r="K25" i="3" s="1"/>
  <c r="B25" i="3"/>
  <c r="J25" i="3" s="1"/>
  <c r="L25" i="3" s="1"/>
  <c r="A26" i="3"/>
  <c r="D26" i="3" l="1"/>
  <c r="E26" i="3"/>
  <c r="C26" i="3"/>
  <c r="B26" i="3"/>
  <c r="J26" i="3" s="1"/>
  <c r="I26" i="3"/>
  <c r="H26" i="3"/>
  <c r="G26" i="3"/>
  <c r="K26" i="3" s="1"/>
  <c r="F26" i="3"/>
  <c r="A27" i="3"/>
  <c r="L26" i="3" l="1"/>
  <c r="H27" i="3"/>
  <c r="D27" i="3"/>
  <c r="C27" i="3"/>
  <c r="K27" i="3" s="1"/>
  <c r="B27" i="3"/>
  <c r="J27" i="3" s="1"/>
  <c r="L27" i="3" s="1"/>
  <c r="I27" i="3"/>
  <c r="G27" i="3"/>
  <c r="E27" i="3"/>
  <c r="F27" i="3"/>
  <c r="A28" i="3"/>
  <c r="I28" i="3" l="1"/>
  <c r="H28" i="3"/>
  <c r="G28" i="3"/>
  <c r="F28" i="3"/>
  <c r="E28" i="3"/>
  <c r="C28" i="3"/>
  <c r="K28" i="3" s="1"/>
  <c r="D28" i="3"/>
  <c r="B28" i="3"/>
  <c r="J28" i="3" s="1"/>
  <c r="L28" i="3" s="1"/>
  <c r="A29" i="3"/>
  <c r="H29" i="3" l="1"/>
  <c r="C29" i="3"/>
  <c r="K29" i="3" s="1"/>
  <c r="B29" i="3"/>
  <c r="J29" i="3" s="1"/>
  <c r="L29" i="3" s="1"/>
  <c r="D29" i="3"/>
  <c r="I29" i="3"/>
  <c r="G29" i="3"/>
  <c r="F29" i="3"/>
  <c r="E29" i="3"/>
  <c r="A30" i="3"/>
  <c r="D30" i="3" l="1"/>
  <c r="B30" i="3"/>
  <c r="J30" i="3" s="1"/>
  <c r="H30" i="3"/>
  <c r="G30" i="3"/>
  <c r="F30" i="3"/>
  <c r="I30" i="3"/>
  <c r="E30" i="3"/>
  <c r="C30" i="3"/>
  <c r="K30" i="3" s="1"/>
  <c r="A31" i="3"/>
  <c r="L30" i="3" l="1"/>
  <c r="H31" i="3"/>
  <c r="G31" i="3"/>
  <c r="F31" i="3"/>
  <c r="E31" i="3"/>
  <c r="D31" i="3"/>
  <c r="C31" i="3"/>
  <c r="K31" i="3" s="1"/>
  <c r="I31" i="3"/>
  <c r="B31" i="3"/>
  <c r="J31" i="3" s="1"/>
  <c r="L31" i="3" s="1"/>
  <c r="A32" i="3"/>
  <c r="I32" i="3" l="1"/>
  <c r="H32" i="3"/>
  <c r="F32" i="3"/>
  <c r="D32" i="3"/>
  <c r="B32" i="3"/>
  <c r="J32" i="3" s="1"/>
  <c r="G32" i="3"/>
  <c r="C32" i="3"/>
  <c r="K32" i="3" s="1"/>
  <c r="E32" i="3"/>
  <c r="A33" i="3"/>
  <c r="L32" i="3" l="1"/>
  <c r="F33" i="3"/>
  <c r="E33" i="3"/>
  <c r="D33" i="3"/>
  <c r="I33" i="3"/>
  <c r="H33" i="3"/>
  <c r="G33" i="3"/>
  <c r="C33" i="3"/>
  <c r="K33" i="3" s="1"/>
  <c r="B33" i="3"/>
  <c r="J33" i="3" s="1"/>
  <c r="L33" i="3" s="1"/>
  <c r="A34" i="3"/>
  <c r="D34" i="3" l="1"/>
  <c r="F34" i="3"/>
  <c r="E34" i="3"/>
  <c r="C34" i="3"/>
  <c r="K34" i="3" s="1"/>
  <c r="B34" i="3"/>
  <c r="J34" i="3" s="1"/>
  <c r="I34" i="3"/>
  <c r="H34" i="3"/>
  <c r="G34" i="3"/>
  <c r="A35" i="3"/>
  <c r="L34" i="3" l="1"/>
  <c r="H35" i="3"/>
  <c r="I35" i="3"/>
  <c r="G35" i="3"/>
  <c r="F35" i="3"/>
  <c r="D35" i="3"/>
  <c r="E35" i="3"/>
  <c r="B35" i="3"/>
  <c r="J35" i="3" s="1"/>
  <c r="C35" i="3"/>
  <c r="K35" i="3" s="1"/>
  <c r="A36" i="3"/>
  <c r="L35" i="3" l="1"/>
  <c r="I36" i="3"/>
  <c r="D36" i="3"/>
  <c r="C36" i="3"/>
  <c r="K36" i="3" s="1"/>
  <c r="B36" i="3"/>
  <c r="J36" i="3" s="1"/>
  <c r="L36" i="3" s="1"/>
  <c r="H36" i="3"/>
  <c r="G36" i="3"/>
  <c r="F36" i="3"/>
  <c r="E36" i="3"/>
  <c r="A37" i="3"/>
  <c r="D37" i="3" l="1"/>
  <c r="C37" i="3"/>
  <c r="B37" i="3"/>
  <c r="J37" i="3" s="1"/>
  <c r="L37" i="3" s="1"/>
  <c r="I37" i="3"/>
  <c r="H37" i="3"/>
  <c r="G37" i="3"/>
  <c r="E37" i="3"/>
  <c r="K37" i="3" s="1"/>
  <c r="F37" i="3"/>
  <c r="A38" i="3"/>
  <c r="D38" i="3" l="1"/>
  <c r="I38" i="3"/>
  <c r="H38" i="3"/>
  <c r="G38" i="3"/>
  <c r="F38" i="3"/>
  <c r="E38" i="3"/>
  <c r="B38" i="3"/>
  <c r="J38" i="3" s="1"/>
  <c r="C38" i="3"/>
  <c r="K38" i="3" s="1"/>
  <c r="A39" i="3"/>
  <c r="L38" i="3" l="1"/>
  <c r="H39" i="3"/>
  <c r="G39" i="3"/>
  <c r="B39" i="3"/>
  <c r="J39" i="3" s="1"/>
  <c r="I39" i="3"/>
  <c r="F39" i="3"/>
  <c r="E39" i="3"/>
  <c r="D39" i="3"/>
  <c r="C39" i="3"/>
  <c r="K39" i="3" s="1"/>
  <c r="A40" i="3"/>
  <c r="L39" i="3" l="1"/>
  <c r="L40" i="3"/>
  <c r="B40" i="3"/>
  <c r="G40" i="3"/>
  <c r="F40" i="3"/>
  <c r="E40" i="3"/>
  <c r="D40" i="3"/>
  <c r="C40" i="3"/>
  <c r="H40" i="3"/>
  <c r="I40" i="3"/>
  <c r="K40" i="3"/>
  <c r="J40" i="3"/>
  <c r="A41" i="3"/>
  <c r="G41" i="3" l="1"/>
  <c r="F41" i="3"/>
  <c r="E41" i="3"/>
  <c r="D41" i="3"/>
  <c r="C41" i="3"/>
  <c r="L41" i="3"/>
  <c r="K41" i="3"/>
  <c r="J41" i="3"/>
  <c r="I41" i="3"/>
  <c r="H41" i="3"/>
  <c r="B41" i="3"/>
  <c r="A42" i="3"/>
  <c r="D42" i="3" l="1"/>
  <c r="L42" i="3"/>
  <c r="K42" i="3"/>
  <c r="J42" i="3"/>
  <c r="I42" i="3"/>
  <c r="H42" i="3"/>
  <c r="F42" i="3"/>
  <c r="B42" i="3"/>
  <c r="G42" i="3"/>
  <c r="E42" i="3"/>
  <c r="C42" i="3"/>
  <c r="A43" i="3"/>
  <c r="H43" i="3" l="1"/>
  <c r="K43" i="3"/>
  <c r="E43" i="3"/>
  <c r="D43" i="3"/>
  <c r="C43" i="3"/>
  <c r="G43" i="3"/>
  <c r="F43" i="3"/>
  <c r="B43" i="3"/>
  <c r="I43" i="3"/>
  <c r="J43" i="3"/>
  <c r="L43" i="3"/>
  <c r="A44" i="3"/>
  <c r="L44" i="3" l="1"/>
  <c r="E44" i="3"/>
  <c r="D44" i="3"/>
  <c r="C44" i="3"/>
  <c r="B44" i="3"/>
  <c r="J44" i="3"/>
  <c r="I44" i="3"/>
  <c r="H44" i="3"/>
  <c r="K44" i="3"/>
  <c r="G44" i="3"/>
  <c r="F44" i="3"/>
  <c r="A45" i="3"/>
  <c r="J45" i="3" l="1"/>
  <c r="I45" i="3"/>
  <c r="H45" i="3"/>
  <c r="G45" i="3"/>
  <c r="F45" i="3"/>
  <c r="D45" i="3"/>
  <c r="C45" i="3"/>
  <c r="B45" i="3"/>
  <c r="L45" i="3"/>
  <c r="K45" i="3"/>
  <c r="E45" i="3"/>
  <c r="A46" i="3"/>
  <c r="B46" i="3" l="1"/>
  <c r="E46" i="3"/>
  <c r="L46" i="3"/>
  <c r="J46" i="3"/>
  <c r="D46" i="3"/>
  <c r="C46" i="3"/>
  <c r="I46" i="3"/>
  <c r="H46" i="3"/>
  <c r="G46" i="3"/>
  <c r="F46" i="3"/>
  <c r="K46" i="3"/>
  <c r="A47" i="3"/>
  <c r="F47" i="3" l="1"/>
  <c r="J47" i="3"/>
  <c r="D47" i="3"/>
  <c r="C47" i="3"/>
  <c r="B47" i="3"/>
  <c r="K47" i="3"/>
  <c r="I47" i="3"/>
  <c r="H47" i="3"/>
  <c r="E47" i="3"/>
  <c r="L47" i="3"/>
  <c r="G47" i="3"/>
  <c r="A48" i="3"/>
  <c r="J48" i="3" l="1"/>
  <c r="K48" i="3"/>
  <c r="I48" i="3"/>
  <c r="H48" i="3"/>
  <c r="G48" i="3"/>
  <c r="F48" i="3"/>
  <c r="D48" i="3"/>
  <c r="L48" i="3"/>
  <c r="E48" i="3"/>
  <c r="B48" i="3"/>
  <c r="C48" i="3"/>
  <c r="A49" i="3"/>
  <c r="C49" i="3" l="1"/>
  <c r="L49" i="3"/>
  <c r="J49" i="3"/>
  <c r="E49" i="3"/>
  <c r="D49" i="3"/>
  <c r="B49" i="3"/>
  <c r="K49" i="3"/>
  <c r="I49" i="3"/>
  <c r="H49" i="3"/>
  <c r="G49" i="3"/>
  <c r="F49" i="3"/>
  <c r="A50" i="3"/>
  <c r="B50" i="3" l="1"/>
  <c r="H50" i="3"/>
  <c r="E50" i="3"/>
  <c r="D50" i="3"/>
  <c r="C50" i="3"/>
  <c r="K50" i="3"/>
  <c r="J50" i="3"/>
  <c r="I50" i="3"/>
  <c r="F50" i="3"/>
  <c r="G50" i="3"/>
  <c r="L50" i="3"/>
  <c r="A51" i="3"/>
  <c r="F51" i="3" l="1"/>
  <c r="L51" i="3"/>
  <c r="K51" i="3"/>
  <c r="J51" i="3"/>
  <c r="I51" i="3"/>
  <c r="H51" i="3"/>
  <c r="E51" i="3"/>
  <c r="G51" i="3"/>
  <c r="D51" i="3"/>
  <c r="C51" i="3"/>
  <c r="B51" i="3"/>
  <c r="A52" i="3"/>
  <c r="J52" i="3" l="1"/>
  <c r="F52" i="3"/>
  <c r="G52" i="3"/>
  <c r="E52" i="3"/>
  <c r="D52" i="3"/>
  <c r="H52" i="3"/>
  <c r="C52" i="3"/>
  <c r="L52" i="3"/>
  <c r="K52" i="3"/>
  <c r="B52" i="3"/>
  <c r="I52" i="3"/>
  <c r="A53" i="3"/>
  <c r="K53" i="3" l="1"/>
  <c r="F53" i="3"/>
  <c r="H53" i="3"/>
  <c r="G53" i="3"/>
  <c r="E53" i="3"/>
  <c r="D53" i="3"/>
  <c r="C53" i="3"/>
  <c r="L53" i="3"/>
  <c r="J53" i="3"/>
  <c r="I53" i="3"/>
  <c r="B53" i="3"/>
  <c r="A54" i="3"/>
  <c r="B54" i="3" l="1"/>
  <c r="K54" i="3"/>
  <c r="L54" i="3"/>
  <c r="J54" i="3"/>
  <c r="H54" i="3"/>
  <c r="C54" i="3"/>
  <c r="D54" i="3"/>
  <c r="E54" i="3"/>
  <c r="F54" i="3"/>
  <c r="I54" i="3"/>
  <c r="G54" i="3"/>
  <c r="A55" i="3"/>
  <c r="F55" i="3" l="1"/>
  <c r="D55" i="3"/>
  <c r="C55" i="3"/>
  <c r="B55" i="3"/>
  <c r="J55" i="3"/>
  <c r="I55" i="3"/>
  <c r="H55" i="3"/>
  <c r="L55" i="3"/>
  <c r="G55" i="3"/>
  <c r="K55" i="3"/>
  <c r="E55" i="3"/>
  <c r="A56" i="3"/>
  <c r="J56" i="3" l="1"/>
  <c r="I56" i="3"/>
  <c r="D56" i="3"/>
  <c r="L56" i="3"/>
  <c r="K56" i="3"/>
  <c r="H56" i="3"/>
  <c r="G56" i="3"/>
  <c r="F56" i="3"/>
  <c r="C56" i="3"/>
  <c r="E56" i="3"/>
  <c r="B56" i="3"/>
  <c r="A57" i="3"/>
  <c r="I57" i="3" l="1"/>
  <c r="K57" i="3"/>
  <c r="E57" i="3"/>
  <c r="D57" i="3"/>
  <c r="C57" i="3"/>
  <c r="H57" i="3"/>
  <c r="G57" i="3"/>
  <c r="F57" i="3"/>
  <c r="B57" i="3"/>
  <c r="J57" i="3"/>
  <c r="L57" i="3"/>
  <c r="A58" i="3"/>
  <c r="B58" i="3" l="1"/>
  <c r="C58" i="3"/>
  <c r="G58" i="3"/>
  <c r="F58" i="3"/>
  <c r="E58" i="3"/>
  <c r="D58" i="3"/>
  <c r="L58" i="3"/>
  <c r="K58" i="3"/>
  <c r="J58" i="3"/>
  <c r="I58" i="3"/>
  <c r="H58" i="3"/>
  <c r="A59" i="3"/>
  <c r="F59" i="3" l="1"/>
  <c r="H59" i="3"/>
  <c r="B59" i="3"/>
  <c r="L59" i="3"/>
  <c r="K59" i="3"/>
  <c r="J59" i="3"/>
  <c r="G59" i="3"/>
  <c r="E59" i="3"/>
  <c r="C59" i="3"/>
  <c r="I59" i="3"/>
  <c r="D59" i="3"/>
  <c r="A60" i="3"/>
  <c r="J60" i="3" l="1"/>
  <c r="G60" i="3"/>
  <c r="B60" i="3"/>
  <c r="H60" i="3"/>
  <c r="F60" i="3"/>
  <c r="E60" i="3"/>
  <c r="L60" i="3"/>
  <c r="K60" i="3"/>
  <c r="I60" i="3"/>
  <c r="D60" i="3"/>
  <c r="C60" i="3"/>
  <c r="A61" i="3"/>
  <c r="L61" i="3" l="1"/>
  <c r="I61" i="3"/>
  <c r="H61" i="3"/>
  <c r="G61" i="3"/>
  <c r="F61" i="3"/>
  <c r="E61" i="3"/>
  <c r="C61" i="3"/>
  <c r="D61" i="3"/>
  <c r="B61" i="3"/>
  <c r="J61" i="3"/>
  <c r="K61" i="3"/>
  <c r="A62" i="3"/>
  <c r="B62" i="3" l="1"/>
  <c r="F62" i="3"/>
  <c r="L62" i="3"/>
  <c r="J62" i="3"/>
  <c r="D62" i="3"/>
  <c r="C62" i="3"/>
  <c r="I62" i="3"/>
  <c r="K62" i="3"/>
  <c r="H62" i="3"/>
  <c r="G62" i="3"/>
  <c r="E62" i="3"/>
  <c r="A63" i="3"/>
  <c r="F63" i="3" l="1"/>
  <c r="K63" i="3"/>
  <c r="E63" i="3"/>
  <c r="D63" i="3"/>
  <c r="C63" i="3"/>
  <c r="B63" i="3"/>
  <c r="L63" i="3"/>
  <c r="J63" i="3"/>
  <c r="I63" i="3"/>
  <c r="G63" i="3"/>
  <c r="H63" i="3"/>
  <c r="A64" i="3"/>
  <c r="J64" i="3" l="1"/>
  <c r="K64" i="3"/>
  <c r="L64" i="3"/>
  <c r="I64" i="3"/>
  <c r="H64" i="3"/>
  <c r="G64" i="3"/>
  <c r="E64" i="3"/>
  <c r="F64" i="3"/>
  <c r="D64" i="3"/>
  <c r="C64" i="3"/>
  <c r="B64" i="3"/>
  <c r="A65" i="3"/>
  <c r="D65" i="3" l="1"/>
  <c r="L65" i="3"/>
  <c r="G65" i="3"/>
  <c r="F65" i="3"/>
  <c r="E65" i="3"/>
  <c r="C65" i="3"/>
  <c r="B65" i="3"/>
  <c r="H65" i="3"/>
  <c r="I65" i="3"/>
  <c r="K65" i="3"/>
  <c r="J65" i="3"/>
  <c r="A66" i="3"/>
  <c r="B66" i="3" l="1"/>
  <c r="I66" i="3"/>
  <c r="D66" i="3"/>
  <c r="H66" i="3"/>
  <c r="G66" i="3"/>
  <c r="F66" i="3"/>
  <c r="E66" i="3"/>
  <c r="C66" i="3"/>
  <c r="L66" i="3"/>
  <c r="J66" i="3"/>
  <c r="K66" i="3"/>
  <c r="A67" i="3"/>
  <c r="F67" i="3" l="1"/>
  <c r="I67" i="3"/>
  <c r="L67" i="3"/>
  <c r="K67" i="3"/>
  <c r="H67" i="3"/>
  <c r="B67" i="3"/>
  <c r="C67" i="3"/>
  <c r="J67" i="3"/>
  <c r="G67" i="3"/>
  <c r="D67" i="3"/>
  <c r="E67" i="3"/>
  <c r="A68" i="3"/>
  <c r="J68" i="3" l="1"/>
  <c r="B68" i="3"/>
  <c r="D68" i="3"/>
  <c r="C68" i="3"/>
  <c r="I68" i="3"/>
  <c r="H68" i="3"/>
  <c r="G68" i="3"/>
  <c r="L68" i="3"/>
  <c r="K68" i="3"/>
  <c r="F68" i="3"/>
  <c r="E68" i="3"/>
  <c r="A69" i="3"/>
  <c r="G69" i="3" l="1"/>
  <c r="B69" i="3"/>
  <c r="K69" i="3"/>
  <c r="J69" i="3"/>
  <c r="I69" i="3"/>
  <c r="H69" i="3"/>
  <c r="F69" i="3"/>
  <c r="D69" i="3"/>
  <c r="C69" i="3"/>
  <c r="L69" i="3"/>
  <c r="E69" i="3"/>
  <c r="A70" i="3"/>
  <c r="B70" i="3" l="1"/>
  <c r="L70" i="3"/>
  <c r="G70" i="3"/>
  <c r="K70" i="3"/>
  <c r="E70" i="3"/>
  <c r="D70" i="3"/>
  <c r="C70" i="3"/>
  <c r="I70" i="3"/>
  <c r="F70" i="3"/>
  <c r="J70" i="3"/>
  <c r="H70" i="3"/>
  <c r="A71" i="3"/>
  <c r="F71" i="3" l="1"/>
  <c r="L71" i="3"/>
  <c r="G71" i="3"/>
  <c r="E71" i="3"/>
  <c r="D71" i="3"/>
  <c r="C71" i="3"/>
  <c r="B71" i="3"/>
  <c r="K71" i="3"/>
  <c r="J71" i="3"/>
  <c r="I71" i="3"/>
  <c r="H71" i="3"/>
  <c r="A72" i="3"/>
  <c r="J72" i="3" l="1"/>
  <c r="E72" i="3"/>
  <c r="L72" i="3"/>
  <c r="K72" i="3"/>
  <c r="I72" i="3"/>
  <c r="G72" i="3"/>
  <c r="F72" i="3"/>
  <c r="D72" i="3"/>
  <c r="C72" i="3"/>
  <c r="H72" i="3"/>
  <c r="B72" i="3"/>
  <c r="A73" i="3"/>
  <c r="J73" i="3" l="1"/>
  <c r="E73" i="3"/>
  <c r="B73" i="3"/>
  <c r="H73" i="3"/>
  <c r="G73" i="3"/>
  <c r="F73" i="3"/>
  <c r="L73" i="3"/>
  <c r="K73" i="3"/>
  <c r="C73" i="3"/>
  <c r="I73" i="3"/>
  <c r="D73" i="3"/>
  <c r="A74" i="3"/>
  <c r="B74" i="3" l="1"/>
  <c r="K74" i="3"/>
  <c r="J74" i="3"/>
  <c r="I74" i="3"/>
  <c r="H74" i="3"/>
  <c r="G74" i="3"/>
  <c r="F74" i="3"/>
  <c r="D74" i="3"/>
  <c r="E74" i="3"/>
  <c r="L74" i="3"/>
  <c r="C74" i="3"/>
  <c r="A75" i="3"/>
  <c r="F75" i="3" l="1"/>
  <c r="E75" i="3"/>
  <c r="D75" i="3"/>
  <c r="L75" i="3"/>
  <c r="G75" i="3"/>
  <c r="C75" i="3"/>
  <c r="B75" i="3"/>
  <c r="K75" i="3"/>
  <c r="J75" i="3"/>
  <c r="I75" i="3"/>
  <c r="H75" i="3"/>
  <c r="A76" i="3"/>
  <c r="J76" i="3" l="1"/>
  <c r="I76" i="3"/>
  <c r="L76" i="3"/>
  <c r="E76" i="3"/>
  <c r="G76" i="3"/>
  <c r="F76" i="3"/>
  <c r="D76" i="3"/>
  <c r="C76" i="3"/>
  <c r="B76" i="3"/>
  <c r="H76" i="3"/>
  <c r="K76" i="3"/>
  <c r="A77" i="3"/>
  <c r="K77" i="3" l="1"/>
  <c r="L77" i="3"/>
  <c r="J77" i="3"/>
  <c r="H77" i="3"/>
  <c r="C77" i="3"/>
  <c r="B77" i="3"/>
  <c r="I77" i="3"/>
  <c r="G77" i="3"/>
  <c r="D77" i="3"/>
  <c r="F77" i="3"/>
  <c r="E77" i="3"/>
  <c r="A78" i="3"/>
  <c r="B78" i="3" l="1"/>
  <c r="F78" i="3"/>
  <c r="E78" i="3"/>
  <c r="D78" i="3"/>
  <c r="C78" i="3"/>
  <c r="K78" i="3"/>
  <c r="J78" i="3"/>
  <c r="I78" i="3"/>
  <c r="H78" i="3"/>
  <c r="L78" i="3"/>
  <c r="G78" i="3"/>
  <c r="A79" i="3"/>
  <c r="F79" i="3" l="1"/>
  <c r="E79" i="3"/>
  <c r="L79" i="3"/>
  <c r="G79" i="3"/>
  <c r="K79" i="3"/>
  <c r="J79" i="3"/>
  <c r="I79" i="3"/>
  <c r="D79" i="3"/>
  <c r="H79" i="3"/>
  <c r="C79" i="3"/>
  <c r="B79" i="3"/>
  <c r="A80" i="3"/>
  <c r="B80" i="3" l="1"/>
  <c r="K80" i="3"/>
  <c r="J80" i="3"/>
  <c r="C80" i="3"/>
  <c r="H80" i="3"/>
  <c r="G80" i="3"/>
  <c r="F80" i="3"/>
  <c r="I80" i="3"/>
  <c r="E80" i="3"/>
  <c r="D80" i="3"/>
  <c r="L80" i="3"/>
  <c r="A81" i="3"/>
  <c r="F81" i="3" l="1"/>
  <c r="H81" i="3"/>
  <c r="B81" i="3"/>
  <c r="L81" i="3"/>
  <c r="K81" i="3"/>
  <c r="J81" i="3"/>
  <c r="I81" i="3"/>
  <c r="G81" i="3"/>
  <c r="D81" i="3"/>
  <c r="E81" i="3"/>
  <c r="C81" i="3"/>
  <c r="A82" i="3"/>
  <c r="J82" i="3" l="1"/>
  <c r="D82" i="3"/>
  <c r="C82" i="3"/>
  <c r="I82" i="3"/>
  <c r="G82" i="3"/>
  <c r="F82" i="3"/>
  <c r="E82" i="3"/>
  <c r="K82" i="3"/>
  <c r="B82" i="3"/>
  <c r="L82" i="3"/>
  <c r="H82" i="3"/>
  <c r="A83" i="3"/>
  <c r="I83" i="3" l="1"/>
  <c r="H83" i="3"/>
  <c r="C83" i="3"/>
  <c r="L83" i="3"/>
  <c r="K83" i="3"/>
  <c r="J83" i="3"/>
  <c r="G83" i="3"/>
  <c r="F83" i="3"/>
  <c r="D83" i="3"/>
  <c r="E83" i="3"/>
  <c r="B83" i="3"/>
  <c r="A84" i="3"/>
  <c r="B84" i="3" l="1"/>
  <c r="J84" i="3"/>
  <c r="H84" i="3"/>
  <c r="E84" i="3"/>
  <c r="G84" i="3"/>
  <c r="F84" i="3"/>
  <c r="D84" i="3"/>
  <c r="L84" i="3"/>
  <c r="K84" i="3"/>
  <c r="I84" i="3"/>
  <c r="C84" i="3"/>
  <c r="A85" i="3"/>
  <c r="F85" i="3" l="1"/>
  <c r="B85" i="3"/>
  <c r="L85" i="3"/>
  <c r="K85" i="3"/>
  <c r="J85" i="3"/>
  <c r="I85" i="3"/>
  <c r="H85" i="3"/>
  <c r="G85" i="3"/>
  <c r="D85" i="3"/>
  <c r="C85" i="3"/>
  <c r="E85" i="3"/>
  <c r="A86" i="3"/>
  <c r="J86" i="3" l="1"/>
  <c r="G86" i="3"/>
  <c r="F86" i="3"/>
  <c r="E86" i="3"/>
  <c r="C86" i="3"/>
  <c r="I86" i="3"/>
  <c r="H86" i="3"/>
  <c r="D86" i="3"/>
  <c r="L86" i="3"/>
  <c r="K86" i="3"/>
  <c r="B86" i="3"/>
  <c r="A87" i="3"/>
  <c r="L87" i="3" l="1"/>
  <c r="K87" i="3"/>
  <c r="J87" i="3"/>
  <c r="G87" i="3"/>
  <c r="I87" i="3"/>
  <c r="H87" i="3"/>
  <c r="F87" i="3"/>
  <c r="E87" i="3"/>
  <c r="C87" i="3"/>
  <c r="B87" i="3"/>
  <c r="D87" i="3"/>
  <c r="A88" i="3"/>
  <c r="B88" i="3" l="1"/>
  <c r="C88" i="3"/>
  <c r="H88" i="3"/>
  <c r="G88" i="3"/>
  <c r="F88" i="3"/>
  <c r="L88" i="3"/>
  <c r="K88" i="3"/>
  <c r="J88" i="3"/>
  <c r="I88" i="3"/>
  <c r="E88" i="3"/>
  <c r="D88" i="3"/>
  <c r="A89" i="3"/>
  <c r="F89" i="3" l="1"/>
  <c r="E89" i="3"/>
  <c r="D89" i="3"/>
  <c r="K89" i="3"/>
  <c r="I89" i="3"/>
  <c r="C89" i="3"/>
  <c r="L89" i="3"/>
  <c r="J89" i="3"/>
  <c r="H89" i="3"/>
  <c r="B89" i="3"/>
  <c r="G89" i="3"/>
  <c r="A90" i="3"/>
  <c r="J90" i="3" l="1"/>
  <c r="F90" i="3"/>
  <c r="K90" i="3"/>
  <c r="I90" i="3"/>
  <c r="C90" i="3"/>
  <c r="B90" i="3"/>
  <c r="L90" i="3"/>
  <c r="H90" i="3"/>
  <c r="G90" i="3"/>
  <c r="D90" i="3"/>
  <c r="E90" i="3"/>
  <c r="A91" i="3"/>
  <c r="K91" i="3" l="1"/>
  <c r="F91" i="3"/>
  <c r="I91" i="3"/>
  <c r="G91" i="3"/>
  <c r="C91" i="3"/>
  <c r="L91" i="3"/>
  <c r="H91" i="3"/>
  <c r="J91" i="3"/>
  <c r="E91" i="3"/>
  <c r="D91" i="3"/>
  <c r="B91" i="3"/>
  <c r="A92" i="3"/>
  <c r="J92" i="3" l="1"/>
  <c r="B92" i="3"/>
  <c r="L92" i="3"/>
  <c r="D92" i="3"/>
  <c r="C92" i="3"/>
  <c r="H92" i="3"/>
  <c r="G92" i="3"/>
  <c r="F92" i="3"/>
  <c r="E92" i="3"/>
  <c r="I92" i="3"/>
  <c r="K92" i="3"/>
  <c r="A93" i="3"/>
  <c r="G93" i="3" l="1"/>
  <c r="E93" i="3"/>
  <c r="J93" i="3"/>
  <c r="I93" i="3"/>
  <c r="K93" i="3"/>
  <c r="F93" i="3"/>
  <c r="B93" i="3"/>
  <c r="H93" i="3"/>
  <c r="D93" i="3"/>
  <c r="C93" i="3"/>
  <c r="L93" i="3"/>
  <c r="A94" i="3"/>
  <c r="B94" i="3" l="1"/>
  <c r="L94" i="3"/>
  <c r="K94" i="3"/>
  <c r="F94" i="3"/>
  <c r="C94" i="3"/>
  <c r="J94" i="3"/>
  <c r="I94" i="3"/>
  <c r="G94" i="3"/>
  <c r="H94" i="3"/>
  <c r="E94" i="3"/>
  <c r="D94" i="3"/>
  <c r="A95" i="3"/>
  <c r="F95" i="3" l="1"/>
  <c r="L95" i="3"/>
  <c r="D95" i="3"/>
  <c r="C95" i="3"/>
  <c r="K95" i="3"/>
  <c r="I95" i="3"/>
  <c r="E95" i="3"/>
  <c r="B95" i="3"/>
  <c r="J95" i="3"/>
  <c r="H95" i="3"/>
  <c r="G95" i="3"/>
  <c r="A96" i="3"/>
  <c r="J96" i="3" l="1"/>
  <c r="E96" i="3"/>
  <c r="G96" i="3"/>
  <c r="F96" i="3"/>
  <c r="K96" i="3"/>
  <c r="I96" i="3"/>
  <c r="C96" i="3"/>
  <c r="L96" i="3"/>
  <c r="H96" i="3"/>
  <c r="D96" i="3"/>
  <c r="B96" i="3"/>
  <c r="A97" i="3"/>
  <c r="J97" i="3" l="1"/>
  <c r="L97" i="3"/>
  <c r="F97" i="3"/>
  <c r="I97" i="3"/>
  <c r="E97" i="3"/>
  <c r="D97" i="3"/>
  <c r="H97" i="3"/>
  <c r="K97" i="3"/>
  <c r="G97" i="3"/>
  <c r="C97" i="3"/>
  <c r="B97" i="3"/>
  <c r="A98" i="3"/>
  <c r="B98" i="3" l="1"/>
  <c r="L98" i="3"/>
  <c r="E98" i="3"/>
  <c r="D98" i="3"/>
  <c r="C98" i="3"/>
  <c r="H98" i="3"/>
  <c r="K98" i="3"/>
  <c r="J98" i="3"/>
  <c r="I98" i="3"/>
  <c r="G98" i="3"/>
  <c r="F98" i="3"/>
  <c r="A99" i="3"/>
  <c r="F99" i="3" l="1"/>
  <c r="C99" i="3"/>
  <c r="H99" i="3"/>
  <c r="G99" i="3"/>
  <c r="K99" i="3"/>
  <c r="J99" i="3"/>
  <c r="I99" i="3"/>
  <c r="E99" i="3"/>
  <c r="L99" i="3"/>
  <c r="D99" i="3"/>
  <c r="B99" i="3"/>
  <c r="A100" i="3"/>
  <c r="J100" i="3" l="1"/>
  <c r="H100" i="3"/>
  <c r="F100" i="3"/>
  <c r="D100" i="3"/>
  <c r="B100" i="3"/>
  <c r="I100" i="3"/>
  <c r="C100" i="3"/>
  <c r="G100" i="3"/>
  <c r="L100" i="3"/>
  <c r="K100" i="3"/>
  <c r="E100" i="3"/>
  <c r="A101" i="3"/>
  <c r="B101" i="3" l="1"/>
  <c r="L101" i="3"/>
  <c r="E101" i="3"/>
  <c r="D101" i="3"/>
  <c r="J101" i="3"/>
  <c r="I101" i="3"/>
  <c r="K101" i="3"/>
  <c r="H101" i="3"/>
  <c r="G101" i="3"/>
  <c r="C101" i="3"/>
  <c r="F101" i="3"/>
  <c r="A102" i="3"/>
  <c r="B102" i="3" l="1"/>
  <c r="H102" i="3"/>
  <c r="G102" i="3"/>
  <c r="K102" i="3"/>
  <c r="J102" i="3"/>
  <c r="F102" i="3"/>
  <c r="D102" i="3"/>
  <c r="C102" i="3"/>
  <c r="I102" i="3"/>
  <c r="E102" i="3"/>
  <c r="L102" i="3"/>
  <c r="A103" i="3"/>
  <c r="F103" i="3" l="1"/>
  <c r="G103" i="3"/>
  <c r="H103" i="3"/>
  <c r="L103" i="3"/>
  <c r="K103" i="3"/>
  <c r="E103" i="3"/>
  <c r="D103" i="3"/>
  <c r="C103" i="3"/>
  <c r="J103" i="3"/>
  <c r="I103" i="3"/>
  <c r="B103" i="3"/>
  <c r="A104" i="3"/>
  <c r="J104" i="3" l="1"/>
  <c r="L104" i="3"/>
  <c r="B104" i="3"/>
  <c r="E104" i="3"/>
  <c r="D104" i="3"/>
  <c r="I104" i="3"/>
  <c r="G104" i="3"/>
  <c r="F104" i="3"/>
  <c r="K104" i="3"/>
  <c r="C104" i="3"/>
  <c r="H104" i="3"/>
  <c r="A105" i="3"/>
  <c r="H105" i="3" l="1"/>
  <c r="G105" i="3"/>
  <c r="B105" i="3"/>
  <c r="K105" i="3"/>
  <c r="J105" i="3"/>
  <c r="C105" i="3"/>
  <c r="L105" i="3"/>
  <c r="I105" i="3"/>
  <c r="F105" i="3"/>
  <c r="E105" i="3"/>
  <c r="D105" i="3"/>
  <c r="A106" i="3"/>
  <c r="B106" i="3" l="1"/>
  <c r="E106" i="3"/>
  <c r="H106" i="3"/>
  <c r="K106" i="3"/>
  <c r="I106" i="3"/>
  <c r="G106" i="3"/>
  <c r="D106" i="3"/>
  <c r="C106" i="3"/>
  <c r="L106" i="3"/>
  <c r="J106" i="3"/>
  <c r="F106" i="3"/>
  <c r="A107" i="3"/>
  <c r="F107" i="3" l="1"/>
  <c r="J107" i="3"/>
  <c r="B107" i="3"/>
  <c r="E107" i="3"/>
  <c r="D107" i="3"/>
  <c r="G107" i="3"/>
  <c r="C107" i="3"/>
  <c r="H107" i="3"/>
  <c r="I107" i="3"/>
  <c r="K107" i="3"/>
  <c r="L107" i="3"/>
  <c r="A108" i="3"/>
  <c r="J108" i="3" l="1"/>
  <c r="H108" i="3"/>
  <c r="G108" i="3"/>
  <c r="F108" i="3"/>
  <c r="B108" i="3"/>
  <c r="L108" i="3"/>
  <c r="K108" i="3"/>
  <c r="E108" i="3"/>
  <c r="D108" i="3"/>
  <c r="I108" i="3"/>
  <c r="C108" i="3"/>
  <c r="A109" i="3"/>
  <c r="C109" i="3" l="1"/>
  <c r="L109" i="3"/>
  <c r="H109" i="3"/>
  <c r="E109" i="3"/>
  <c r="B109" i="3"/>
  <c r="I109" i="3"/>
  <c r="J109" i="3"/>
  <c r="G109" i="3"/>
  <c r="F109" i="3"/>
  <c r="D109" i="3"/>
  <c r="K109" i="3"/>
  <c r="A110" i="3"/>
  <c r="B110" i="3" l="1"/>
  <c r="H110" i="3"/>
  <c r="C110" i="3"/>
  <c r="F110" i="3"/>
  <c r="E110" i="3"/>
  <c r="L110" i="3"/>
  <c r="K110" i="3"/>
  <c r="J110" i="3"/>
  <c r="I110" i="3"/>
  <c r="G110" i="3"/>
  <c r="D110" i="3"/>
  <c r="A111" i="3"/>
  <c r="F111" i="3" l="1"/>
  <c r="I111" i="3"/>
  <c r="H111" i="3"/>
  <c r="G111" i="3"/>
  <c r="B111" i="3"/>
  <c r="L111" i="3"/>
  <c r="K111" i="3"/>
  <c r="J111" i="3"/>
  <c r="D111" i="3"/>
  <c r="C111" i="3"/>
  <c r="E111" i="3"/>
  <c r="A112" i="3"/>
  <c r="J112" i="3" l="1"/>
  <c r="H112" i="3"/>
  <c r="D112" i="3"/>
  <c r="L112" i="3"/>
  <c r="K112" i="3"/>
  <c r="I112" i="3"/>
  <c r="G112" i="3"/>
  <c r="F112" i="3"/>
  <c r="E112" i="3"/>
  <c r="C112" i="3"/>
  <c r="B112" i="3"/>
  <c r="A113" i="3"/>
  <c r="F113" i="3" l="1"/>
  <c r="C113" i="3"/>
  <c r="B113" i="3"/>
  <c r="G113" i="3"/>
  <c r="E113" i="3"/>
  <c r="K113" i="3"/>
  <c r="J113" i="3"/>
  <c r="H113" i="3"/>
  <c r="D113" i="3"/>
  <c r="I113" i="3"/>
  <c r="L113" i="3"/>
  <c r="A114" i="3"/>
  <c r="B114" i="3" l="1"/>
  <c r="K114" i="3"/>
  <c r="I114" i="3"/>
  <c r="H114" i="3"/>
  <c r="G114" i="3"/>
  <c r="C114" i="3"/>
  <c r="L114" i="3"/>
  <c r="F114" i="3"/>
  <c r="J114" i="3"/>
  <c r="E114" i="3"/>
  <c r="D114" i="3"/>
  <c r="A115" i="3"/>
  <c r="F115" i="3" l="1"/>
  <c r="I115" i="3"/>
  <c r="L115" i="3"/>
  <c r="J115" i="3"/>
  <c r="H115" i="3"/>
  <c r="K115" i="3"/>
  <c r="B115" i="3"/>
  <c r="G115" i="3"/>
  <c r="E115" i="3"/>
  <c r="D115" i="3"/>
  <c r="C115" i="3"/>
  <c r="A116" i="3"/>
  <c r="J116" i="3" l="1"/>
  <c r="D116" i="3"/>
  <c r="E116" i="3"/>
  <c r="C116" i="3"/>
  <c r="B116" i="3"/>
  <c r="H116" i="3"/>
  <c r="G116" i="3"/>
  <c r="K116" i="3"/>
  <c r="F116" i="3"/>
  <c r="L116" i="3"/>
  <c r="I116" i="3"/>
  <c r="A117" i="3"/>
  <c r="I117" i="3" l="1"/>
  <c r="F117" i="3"/>
  <c r="L117" i="3"/>
  <c r="K117" i="3"/>
  <c r="J117" i="3"/>
  <c r="D117" i="3"/>
  <c r="B117" i="3"/>
  <c r="G117" i="3"/>
  <c r="E117" i="3"/>
  <c r="C117" i="3"/>
  <c r="H117" i="3"/>
  <c r="A118" i="3"/>
  <c r="B118" i="3" l="1"/>
  <c r="K118" i="3"/>
  <c r="L118" i="3"/>
  <c r="D118" i="3"/>
  <c r="C118" i="3"/>
  <c r="J118" i="3"/>
  <c r="I118" i="3"/>
  <c r="G118" i="3"/>
  <c r="F118" i="3"/>
  <c r="H118" i="3"/>
  <c r="E118" i="3"/>
  <c r="A119" i="3"/>
  <c r="F119" i="3" l="1"/>
  <c r="B119" i="3"/>
  <c r="H119" i="3"/>
  <c r="G119" i="3"/>
  <c r="E119" i="3"/>
  <c r="K119" i="3"/>
  <c r="J119" i="3"/>
  <c r="C119" i="3"/>
  <c r="L119" i="3"/>
  <c r="D119" i="3"/>
  <c r="I119" i="3"/>
  <c r="A120" i="3"/>
  <c r="J120" i="3" l="1"/>
  <c r="G120" i="3"/>
  <c r="D120" i="3"/>
  <c r="H120" i="3"/>
  <c r="L120" i="3"/>
  <c r="K120" i="3"/>
  <c r="I120" i="3"/>
  <c r="F120" i="3"/>
  <c r="E120" i="3"/>
  <c r="C120" i="3"/>
  <c r="B120" i="3"/>
  <c r="A121" i="3"/>
  <c r="L121" i="3" l="1"/>
  <c r="I121" i="3"/>
  <c r="C121" i="3"/>
  <c r="B121" i="3"/>
  <c r="F121" i="3"/>
  <c r="E121" i="3"/>
  <c r="K121" i="3"/>
  <c r="H121" i="3"/>
  <c r="G121" i="3"/>
  <c r="J121" i="3"/>
  <c r="D121" i="3"/>
  <c r="A122" i="3"/>
  <c r="B122" i="3" l="1"/>
  <c r="J122" i="3"/>
  <c r="I122" i="3"/>
  <c r="H122" i="3"/>
  <c r="D122" i="3"/>
  <c r="L122" i="3"/>
  <c r="E122" i="3"/>
  <c r="K122" i="3"/>
  <c r="G122" i="3"/>
  <c r="F122" i="3"/>
  <c r="C122" i="3"/>
  <c r="A123" i="3"/>
  <c r="F123" i="3" l="1"/>
  <c r="E123" i="3"/>
  <c r="B123" i="3"/>
  <c r="K123" i="3"/>
  <c r="L123" i="3"/>
  <c r="I123" i="3"/>
  <c r="H123" i="3"/>
  <c r="C123" i="3"/>
  <c r="G123" i="3"/>
  <c r="D123" i="3"/>
  <c r="J123" i="3"/>
  <c r="A124" i="3"/>
  <c r="J124" i="3" l="1"/>
  <c r="K124" i="3"/>
  <c r="G124" i="3"/>
  <c r="E124" i="3"/>
  <c r="D124" i="3"/>
  <c r="C124" i="3"/>
  <c r="I124" i="3"/>
  <c r="H124" i="3"/>
  <c r="L124" i="3"/>
  <c r="B124" i="3"/>
  <c r="F124" i="3"/>
  <c r="A125" i="3"/>
  <c r="L125" i="3" l="1"/>
  <c r="K125" i="3"/>
  <c r="J125" i="3"/>
  <c r="H125" i="3"/>
  <c r="F125" i="3"/>
  <c r="D125" i="3"/>
  <c r="I125" i="3"/>
  <c r="G125" i="3"/>
  <c r="E125" i="3"/>
  <c r="C125" i="3"/>
  <c r="B125" i="3"/>
  <c r="A126" i="3"/>
  <c r="B126" i="3" l="1"/>
  <c r="D126" i="3"/>
  <c r="C126" i="3"/>
  <c r="I126" i="3"/>
  <c r="G126" i="3"/>
  <c r="F126" i="3"/>
  <c r="L126" i="3"/>
  <c r="K126" i="3"/>
  <c r="H126" i="3"/>
  <c r="E126" i="3"/>
  <c r="J126" i="3"/>
  <c r="A127" i="3"/>
  <c r="F127" i="3" l="1"/>
  <c r="I127" i="3"/>
  <c r="G127" i="3"/>
  <c r="E127" i="3"/>
  <c r="L127" i="3"/>
  <c r="K127" i="3"/>
  <c r="J127" i="3"/>
  <c r="D127" i="3"/>
  <c r="B127" i="3"/>
  <c r="H127" i="3"/>
  <c r="C127" i="3"/>
  <c r="A128" i="3"/>
  <c r="J128" i="3" l="1"/>
  <c r="L128" i="3"/>
  <c r="K128" i="3"/>
  <c r="E128" i="3"/>
  <c r="C128" i="3"/>
  <c r="B128" i="3"/>
  <c r="D128" i="3"/>
  <c r="H128" i="3"/>
  <c r="I128" i="3"/>
  <c r="G128" i="3"/>
  <c r="F128" i="3"/>
  <c r="A129" i="3"/>
  <c r="B129" i="3" l="1"/>
  <c r="H129" i="3"/>
  <c r="G129" i="3"/>
  <c r="F129" i="3"/>
  <c r="D129" i="3"/>
  <c r="K129" i="3"/>
  <c r="J129" i="3"/>
  <c r="C129" i="3"/>
  <c r="I129" i="3"/>
  <c r="L129" i="3"/>
  <c r="E129" i="3"/>
  <c r="A130" i="3"/>
  <c r="B130" i="3" l="1"/>
  <c r="G130" i="3"/>
  <c r="E130" i="3"/>
  <c r="D130" i="3"/>
  <c r="L130" i="3"/>
  <c r="J130" i="3"/>
  <c r="K130" i="3"/>
  <c r="I130" i="3"/>
  <c r="H130" i="3"/>
  <c r="F130" i="3"/>
  <c r="C130" i="3"/>
  <c r="A131" i="3"/>
  <c r="F131" i="3" l="1"/>
  <c r="L131" i="3"/>
  <c r="J131" i="3"/>
  <c r="I131" i="3"/>
  <c r="D131" i="3"/>
  <c r="C131" i="3"/>
  <c r="B131" i="3"/>
  <c r="H131" i="3"/>
  <c r="G131" i="3"/>
  <c r="K131" i="3"/>
  <c r="E131" i="3"/>
  <c r="A132" i="3"/>
  <c r="J132" i="3" l="1"/>
  <c r="L132" i="3"/>
  <c r="K132" i="3"/>
  <c r="I132" i="3"/>
  <c r="H132" i="3"/>
  <c r="F132" i="3"/>
  <c r="B132" i="3"/>
  <c r="E132" i="3"/>
  <c r="G132" i="3"/>
  <c r="D132" i="3"/>
  <c r="C132" i="3"/>
  <c r="A133" i="3"/>
  <c r="E133" i="3" l="1"/>
  <c r="C133" i="3"/>
  <c r="B133" i="3"/>
  <c r="I133" i="3"/>
  <c r="G133" i="3"/>
  <c r="F133" i="3"/>
  <c r="K133" i="3"/>
  <c r="J133" i="3"/>
  <c r="H133" i="3"/>
  <c r="D133" i="3"/>
  <c r="L133" i="3"/>
  <c r="A134" i="3"/>
  <c r="B134" i="3" l="1"/>
  <c r="J134" i="3"/>
  <c r="H134" i="3"/>
  <c r="G134" i="3"/>
  <c r="L134" i="3"/>
  <c r="K134" i="3"/>
  <c r="I134" i="3"/>
  <c r="F134" i="3"/>
  <c r="E134" i="3"/>
  <c r="C134" i="3"/>
  <c r="D134" i="3"/>
  <c r="A135" i="3"/>
  <c r="F135" i="3" l="1"/>
  <c r="L135" i="3"/>
  <c r="K135" i="3"/>
  <c r="E135" i="3"/>
  <c r="C135" i="3"/>
  <c r="B135" i="3"/>
  <c r="I135" i="3"/>
  <c r="H135" i="3"/>
  <c r="G135" i="3"/>
  <c r="D135" i="3"/>
  <c r="J135" i="3"/>
  <c r="A136" i="3"/>
  <c r="J136" i="3" l="1"/>
  <c r="C136" i="3"/>
  <c r="H136" i="3"/>
  <c r="G136" i="3"/>
  <c r="F136" i="3"/>
  <c r="E136" i="3"/>
  <c r="D136" i="3"/>
  <c r="L136" i="3"/>
  <c r="K136" i="3"/>
  <c r="I136" i="3"/>
  <c r="B136" i="3"/>
  <c r="A137" i="3"/>
  <c r="H137" i="3" l="1"/>
  <c r="F137" i="3"/>
  <c r="E137" i="3"/>
  <c r="L137" i="3"/>
  <c r="J137" i="3"/>
  <c r="B137" i="3"/>
  <c r="C137" i="3"/>
  <c r="K137" i="3"/>
  <c r="I137" i="3"/>
  <c r="G137" i="3"/>
  <c r="D137" i="3"/>
  <c r="A138" i="3"/>
  <c r="B138" i="3" l="1"/>
  <c r="K138" i="3"/>
  <c r="J138" i="3"/>
  <c r="E138" i="3"/>
  <c r="D138" i="3"/>
  <c r="C138" i="3"/>
  <c r="L138" i="3"/>
  <c r="H138" i="3"/>
  <c r="G138" i="3"/>
  <c r="I138" i="3"/>
  <c r="F138" i="3"/>
  <c r="A139" i="3"/>
  <c r="F139" i="3" l="1"/>
  <c r="L139" i="3"/>
  <c r="K139" i="3"/>
  <c r="J139" i="3"/>
  <c r="I139" i="3"/>
  <c r="G139" i="3"/>
  <c r="H139" i="3"/>
  <c r="E139" i="3"/>
  <c r="D139" i="3"/>
  <c r="C139" i="3"/>
  <c r="B139" i="3"/>
  <c r="A140" i="3"/>
  <c r="J140" i="3" l="1"/>
  <c r="F140" i="3"/>
  <c r="D140" i="3"/>
  <c r="C140" i="3"/>
  <c r="I140" i="3"/>
  <c r="G140" i="3"/>
  <c r="E140" i="3"/>
  <c r="K140" i="3"/>
  <c r="L140" i="3"/>
  <c r="H140" i="3"/>
  <c r="B140" i="3"/>
  <c r="A141" i="3"/>
  <c r="K141" i="3" l="1"/>
  <c r="I141" i="3"/>
  <c r="H141" i="3"/>
  <c r="L141" i="3"/>
  <c r="J141" i="3"/>
  <c r="G141" i="3"/>
  <c r="F141" i="3"/>
  <c r="E141" i="3"/>
  <c r="C141" i="3"/>
  <c r="D141" i="3"/>
  <c r="B141" i="3"/>
  <c r="A142" i="3"/>
  <c r="B142" i="3" l="1"/>
  <c r="K142" i="3"/>
  <c r="F142" i="3"/>
  <c r="D142" i="3"/>
  <c r="C142" i="3"/>
  <c r="L142" i="3"/>
  <c r="J142" i="3"/>
  <c r="I142" i="3"/>
  <c r="H142" i="3"/>
  <c r="G142" i="3"/>
  <c r="E142" i="3"/>
  <c r="A143" i="3"/>
  <c r="F143" i="3" l="1"/>
  <c r="D143" i="3"/>
  <c r="B143" i="3"/>
  <c r="I143" i="3"/>
  <c r="H143" i="3"/>
  <c r="G143" i="3"/>
  <c r="E143" i="3"/>
  <c r="C143" i="3"/>
  <c r="L143" i="3"/>
  <c r="K143" i="3"/>
  <c r="J143" i="3"/>
  <c r="A144" i="3"/>
  <c r="J144" i="3" l="1"/>
  <c r="I144" i="3"/>
  <c r="G144" i="3"/>
  <c r="F144" i="3"/>
  <c r="K144" i="3"/>
  <c r="B144" i="3"/>
  <c r="C144" i="3"/>
  <c r="H144" i="3"/>
  <c r="L144" i="3"/>
  <c r="E144" i="3"/>
  <c r="D144" i="3"/>
  <c r="A145" i="3"/>
  <c r="L145" i="3" l="1"/>
  <c r="K145" i="3"/>
  <c r="E145" i="3"/>
  <c r="D145" i="3"/>
  <c r="C145" i="3"/>
  <c r="B145" i="3"/>
  <c r="J145" i="3"/>
  <c r="I145" i="3"/>
  <c r="H145" i="3"/>
  <c r="G145" i="3"/>
  <c r="F145" i="3"/>
  <c r="A146" i="3"/>
  <c r="B146" i="3" l="1"/>
  <c r="C146" i="3"/>
  <c r="L146" i="3"/>
  <c r="K146" i="3"/>
  <c r="J146" i="3"/>
  <c r="I146" i="3"/>
  <c r="G146" i="3"/>
  <c r="H146" i="3"/>
  <c r="D146" i="3"/>
  <c r="F146" i="3"/>
  <c r="E146" i="3"/>
  <c r="A147" i="3"/>
  <c r="F147" i="3" l="1"/>
  <c r="H147" i="3"/>
  <c r="E147" i="3"/>
  <c r="D147" i="3"/>
  <c r="B147" i="3"/>
  <c r="K147" i="3"/>
  <c r="J147" i="3"/>
  <c r="I147" i="3"/>
  <c r="G147" i="3"/>
  <c r="L147" i="3"/>
  <c r="C147" i="3"/>
  <c r="A148" i="3"/>
  <c r="J148" i="3" l="1"/>
  <c r="H148" i="3"/>
  <c r="L148" i="3"/>
  <c r="K148" i="3"/>
  <c r="F148" i="3"/>
  <c r="I148" i="3"/>
  <c r="G148" i="3"/>
  <c r="D148" i="3"/>
  <c r="E148" i="3"/>
  <c r="C148" i="3"/>
  <c r="B148" i="3"/>
  <c r="A149" i="3"/>
  <c r="L149" i="3" l="1"/>
  <c r="B149" i="3"/>
  <c r="D149" i="3"/>
  <c r="C149" i="3"/>
  <c r="I149" i="3"/>
  <c r="H149" i="3"/>
  <c r="G149" i="3"/>
  <c r="F149" i="3"/>
  <c r="K149" i="3"/>
  <c r="J149" i="3"/>
  <c r="E149" i="3"/>
  <c r="A150" i="3"/>
  <c r="B150" i="3" l="1"/>
  <c r="H150" i="3"/>
  <c r="F150" i="3"/>
  <c r="E150" i="3"/>
  <c r="L150" i="3"/>
  <c r="K150" i="3"/>
  <c r="J150" i="3"/>
  <c r="G150" i="3"/>
  <c r="D150" i="3"/>
  <c r="I150" i="3"/>
  <c r="C150" i="3"/>
  <c r="A151" i="3"/>
  <c r="F151" i="3" l="1"/>
  <c r="D151" i="3"/>
  <c r="L151" i="3"/>
  <c r="K151" i="3"/>
  <c r="H151" i="3"/>
  <c r="C151" i="3"/>
  <c r="B151" i="3"/>
  <c r="J151" i="3"/>
  <c r="I151" i="3"/>
  <c r="G151" i="3"/>
  <c r="E151" i="3"/>
  <c r="A152" i="3"/>
  <c r="J152" i="3" l="1"/>
  <c r="H152" i="3"/>
  <c r="B152" i="3"/>
  <c r="G152" i="3"/>
  <c r="L152" i="3"/>
  <c r="I152" i="3"/>
  <c r="K152" i="3"/>
  <c r="F152" i="3"/>
  <c r="E152" i="3"/>
  <c r="D152" i="3"/>
  <c r="C152" i="3"/>
  <c r="A153" i="3"/>
  <c r="L153" i="3" l="1"/>
  <c r="H153" i="3"/>
  <c r="F153" i="3"/>
  <c r="E153" i="3"/>
  <c r="B153" i="3"/>
  <c r="G153" i="3"/>
  <c r="D153" i="3"/>
  <c r="C153" i="3"/>
  <c r="K153" i="3"/>
  <c r="J153" i="3"/>
  <c r="I153" i="3"/>
  <c r="A154" i="3"/>
  <c r="B154" i="3" l="1"/>
  <c r="L154" i="3"/>
  <c r="K154" i="3"/>
  <c r="H154" i="3"/>
  <c r="C154" i="3"/>
  <c r="E154" i="3"/>
  <c r="D154" i="3"/>
  <c r="I154" i="3"/>
  <c r="G154" i="3"/>
  <c r="F154" i="3"/>
  <c r="J154" i="3"/>
  <c r="A155" i="3"/>
  <c r="F155" i="3" l="1"/>
  <c r="D155" i="3"/>
  <c r="B155" i="3"/>
  <c r="I155" i="3"/>
  <c r="H155" i="3"/>
  <c r="L155" i="3"/>
  <c r="K155" i="3"/>
  <c r="J155" i="3"/>
  <c r="G155" i="3"/>
  <c r="C155" i="3"/>
  <c r="E155" i="3"/>
  <c r="A156" i="3"/>
  <c r="J156" i="3" l="1"/>
  <c r="H156" i="3"/>
  <c r="I156" i="3"/>
  <c r="G156" i="3"/>
  <c r="F156" i="3"/>
  <c r="E156" i="3"/>
  <c r="B156" i="3"/>
  <c r="L156" i="3"/>
  <c r="K156" i="3"/>
  <c r="D156" i="3"/>
  <c r="C156" i="3"/>
  <c r="A157" i="3"/>
  <c r="L157" i="3" l="1"/>
  <c r="K157" i="3"/>
  <c r="H157" i="3"/>
  <c r="C157" i="3"/>
  <c r="B157" i="3"/>
  <c r="J157" i="3"/>
  <c r="D157" i="3"/>
  <c r="F157" i="3"/>
  <c r="I157" i="3"/>
  <c r="G157" i="3"/>
  <c r="E157" i="3"/>
  <c r="A158" i="3"/>
  <c r="B158" i="3" l="1"/>
  <c r="D158" i="3"/>
  <c r="C158" i="3"/>
  <c r="I158" i="3"/>
  <c r="H158" i="3"/>
  <c r="G158" i="3"/>
  <c r="L158" i="3"/>
  <c r="K158" i="3"/>
  <c r="J158" i="3"/>
  <c r="F158" i="3"/>
  <c r="E158" i="3"/>
  <c r="A159" i="3"/>
  <c r="F159" i="3" l="1"/>
  <c r="D159" i="3"/>
  <c r="J159" i="3"/>
  <c r="I159" i="3"/>
  <c r="H159" i="3"/>
  <c r="G159" i="3"/>
  <c r="B159" i="3"/>
  <c r="L159" i="3"/>
  <c r="K159" i="3"/>
  <c r="E159" i="3"/>
  <c r="C159" i="3"/>
  <c r="A160" i="3"/>
  <c r="J160" i="3" l="1"/>
  <c r="H160" i="3"/>
  <c r="I160" i="3"/>
  <c r="C160" i="3"/>
  <c r="B160" i="3"/>
  <c r="L160" i="3"/>
  <c r="D160" i="3"/>
  <c r="K160" i="3"/>
  <c r="G160" i="3"/>
  <c r="F160" i="3"/>
  <c r="E160" i="3"/>
  <c r="A161" i="3"/>
  <c r="L161" i="3" l="1"/>
  <c r="D161" i="3"/>
  <c r="C161" i="3"/>
  <c r="B161" i="3"/>
  <c r="I161" i="3"/>
  <c r="H161" i="3"/>
  <c r="G161" i="3"/>
  <c r="K161" i="3"/>
  <c r="J161" i="3"/>
  <c r="F161" i="3"/>
  <c r="E161" i="3"/>
  <c r="A162" i="3"/>
  <c r="B162" i="3" l="1"/>
  <c r="J162" i="3"/>
  <c r="I162" i="3"/>
  <c r="H162" i="3"/>
  <c r="G162" i="3"/>
  <c r="D162" i="3"/>
  <c r="C162" i="3"/>
  <c r="L162" i="3"/>
  <c r="K162" i="3"/>
  <c r="F162" i="3"/>
  <c r="E162" i="3"/>
  <c r="A163" i="3"/>
  <c r="F163" i="3" l="1"/>
  <c r="D163" i="3"/>
  <c r="J163" i="3"/>
  <c r="C163" i="3"/>
  <c r="B163" i="3"/>
  <c r="L163" i="3"/>
  <c r="E163" i="3"/>
  <c r="G163" i="3"/>
  <c r="K163" i="3"/>
  <c r="I163" i="3"/>
  <c r="H163" i="3"/>
  <c r="A164" i="3"/>
  <c r="J164" i="3" l="1"/>
  <c r="H164" i="3"/>
  <c r="D164" i="3"/>
  <c r="C164" i="3"/>
  <c r="B164" i="3"/>
  <c r="K164" i="3"/>
  <c r="I164" i="3"/>
  <c r="G164" i="3"/>
  <c r="L164" i="3"/>
  <c r="F164" i="3"/>
  <c r="E164" i="3"/>
  <c r="A165" i="3"/>
  <c r="L165" i="3" l="1"/>
  <c r="J165" i="3"/>
  <c r="I165" i="3"/>
  <c r="H165" i="3"/>
  <c r="G165" i="3"/>
  <c r="D165" i="3"/>
  <c r="C165" i="3"/>
  <c r="B165" i="3"/>
  <c r="K165" i="3"/>
  <c r="F165" i="3"/>
  <c r="E165" i="3"/>
  <c r="A166" i="3"/>
  <c r="B166" i="3" l="1"/>
  <c r="J166" i="3"/>
  <c r="E166" i="3"/>
  <c r="D166" i="3"/>
  <c r="C166" i="3"/>
  <c r="L166" i="3"/>
  <c r="F166" i="3"/>
  <c r="K166" i="3"/>
  <c r="I166" i="3"/>
  <c r="H166" i="3"/>
  <c r="G166" i="3"/>
  <c r="A167" i="3"/>
  <c r="F167" i="3" l="1"/>
  <c r="D167" i="3"/>
  <c r="E167" i="3"/>
  <c r="C167" i="3"/>
  <c r="B167" i="3"/>
  <c r="K167" i="3"/>
  <c r="J167" i="3"/>
  <c r="I167" i="3"/>
  <c r="L167" i="3"/>
  <c r="H167" i="3"/>
  <c r="G167" i="3"/>
  <c r="A168" i="3"/>
  <c r="J168" i="3" l="1"/>
  <c r="H168" i="3"/>
  <c r="L168" i="3"/>
  <c r="K168" i="3"/>
  <c r="I168" i="3"/>
  <c r="G168" i="3"/>
  <c r="D168" i="3"/>
  <c r="C168" i="3"/>
  <c r="B168" i="3"/>
  <c r="F168" i="3"/>
  <c r="E168" i="3"/>
  <c r="A169" i="3"/>
  <c r="L169" i="3" l="1"/>
  <c r="J169" i="3"/>
  <c r="E169" i="3"/>
  <c r="D169" i="3"/>
  <c r="C169" i="3"/>
  <c r="F169" i="3"/>
  <c r="B169" i="3"/>
  <c r="K169" i="3"/>
  <c r="I169" i="3"/>
  <c r="H169" i="3"/>
  <c r="G169" i="3"/>
  <c r="A170" i="3"/>
  <c r="B170" i="3" l="1"/>
  <c r="F170" i="3"/>
  <c r="E170" i="3"/>
  <c r="D170" i="3"/>
  <c r="C170" i="3"/>
  <c r="K170" i="3"/>
  <c r="J170" i="3"/>
  <c r="I170" i="3"/>
  <c r="L170" i="3"/>
  <c r="H170" i="3"/>
  <c r="G170" i="3"/>
  <c r="A171" i="3"/>
  <c r="F171" i="3" l="1"/>
  <c r="D171" i="3"/>
  <c r="L171" i="3"/>
  <c r="K171" i="3"/>
  <c r="J171" i="3"/>
  <c r="I171" i="3"/>
  <c r="E171" i="3"/>
  <c r="C171" i="3"/>
  <c r="B171" i="3"/>
  <c r="H171" i="3"/>
  <c r="G171" i="3"/>
  <c r="A172" i="3"/>
  <c r="J172" i="3" l="1"/>
  <c r="H172" i="3"/>
  <c r="L172" i="3"/>
  <c r="E172" i="3"/>
  <c r="D172" i="3"/>
  <c r="C172" i="3"/>
  <c r="F172" i="3"/>
  <c r="B172" i="3"/>
  <c r="I172" i="3"/>
  <c r="K172" i="3"/>
  <c r="G172" i="3"/>
  <c r="A173" i="3"/>
  <c r="L173" i="3" l="1"/>
  <c r="F173" i="3"/>
  <c r="E173" i="3"/>
  <c r="D173" i="3"/>
  <c r="C173" i="3"/>
  <c r="K173" i="3"/>
  <c r="J173" i="3"/>
  <c r="I173" i="3"/>
  <c r="G173" i="3"/>
  <c r="B173" i="3"/>
  <c r="H173" i="3"/>
  <c r="A174" i="3"/>
  <c r="B174" i="3" l="1"/>
  <c r="L174" i="3"/>
  <c r="K174" i="3"/>
  <c r="J174" i="3"/>
  <c r="I174" i="3"/>
  <c r="F174" i="3"/>
  <c r="G174" i="3"/>
  <c r="E174" i="3"/>
  <c r="D174" i="3"/>
  <c r="C174" i="3"/>
  <c r="H174" i="3"/>
  <c r="A175" i="3"/>
  <c r="F175" i="3" l="1"/>
  <c r="D175" i="3"/>
  <c r="L175" i="3"/>
  <c r="G175" i="3"/>
  <c r="E175" i="3"/>
  <c r="C175" i="3"/>
  <c r="J175" i="3"/>
  <c r="I175" i="3"/>
  <c r="H175" i="3"/>
  <c r="B175" i="3"/>
  <c r="K175" i="3"/>
  <c r="A176" i="3"/>
  <c r="L176" i="3" l="1"/>
  <c r="J176" i="3"/>
  <c r="H176" i="3"/>
  <c r="F176" i="3"/>
  <c r="E176" i="3"/>
  <c r="D176" i="3"/>
  <c r="C176" i="3"/>
  <c r="K176" i="3"/>
  <c r="G176" i="3"/>
  <c r="I176" i="3"/>
  <c r="B176" i="3"/>
  <c r="A177" i="3"/>
  <c r="L177" i="3" l="1"/>
  <c r="K177" i="3"/>
  <c r="J177" i="3"/>
  <c r="G177" i="3"/>
  <c r="B177" i="3"/>
  <c r="I177" i="3"/>
  <c r="H177" i="3"/>
  <c r="F177" i="3"/>
  <c r="E177" i="3"/>
  <c r="C177" i="3"/>
  <c r="D177" i="3"/>
  <c r="A178" i="3"/>
  <c r="D178" i="3" l="1"/>
  <c r="B178" i="3"/>
  <c r="C178" i="3"/>
  <c r="I178" i="3"/>
  <c r="H178" i="3"/>
  <c r="G178" i="3"/>
  <c r="E178" i="3"/>
  <c r="F178" i="3"/>
  <c r="L178" i="3"/>
  <c r="K178" i="3"/>
  <c r="J178" i="3"/>
  <c r="A179" i="3"/>
  <c r="H179" i="3" l="1"/>
  <c r="F179" i="3"/>
  <c r="D179" i="3"/>
  <c r="K179" i="3"/>
  <c r="J179" i="3"/>
  <c r="I179" i="3"/>
  <c r="G179" i="3"/>
  <c r="B179" i="3"/>
  <c r="L179" i="3"/>
  <c r="C179" i="3"/>
  <c r="E179" i="3"/>
  <c r="A180" i="3"/>
  <c r="L180" i="3" l="1"/>
  <c r="J180" i="3"/>
  <c r="H180" i="3"/>
  <c r="K180" i="3"/>
  <c r="D180" i="3"/>
  <c r="C180" i="3"/>
  <c r="B180" i="3"/>
  <c r="I180" i="3"/>
  <c r="F180" i="3"/>
  <c r="E180" i="3"/>
  <c r="G180" i="3"/>
  <c r="A181" i="3"/>
  <c r="L181" i="3" l="1"/>
  <c r="F181" i="3"/>
  <c r="E181" i="3"/>
  <c r="D181" i="3"/>
  <c r="C181" i="3"/>
  <c r="K181" i="3"/>
  <c r="J181" i="3"/>
  <c r="I181" i="3"/>
  <c r="H181" i="3"/>
  <c r="G181" i="3"/>
  <c r="B181" i="3"/>
  <c r="A182" i="3"/>
  <c r="D182" i="3" l="1"/>
  <c r="B182" i="3"/>
  <c r="L182" i="3"/>
  <c r="K182" i="3"/>
  <c r="J182" i="3"/>
  <c r="G182" i="3"/>
  <c r="F182" i="3"/>
  <c r="E182" i="3"/>
  <c r="C182" i="3"/>
  <c r="I182" i="3"/>
  <c r="H182" i="3"/>
  <c r="A183" i="3"/>
  <c r="H183" i="3" l="1"/>
  <c r="F183" i="3"/>
  <c r="D183" i="3"/>
  <c r="I183" i="3"/>
  <c r="G183" i="3"/>
  <c r="E183" i="3"/>
  <c r="C183" i="3"/>
  <c r="B183" i="3"/>
  <c r="L183" i="3"/>
  <c r="K183" i="3"/>
  <c r="J183" i="3"/>
  <c r="A184" i="3"/>
  <c r="L184" i="3" l="1"/>
  <c r="J184" i="3"/>
  <c r="H184" i="3"/>
  <c r="I184" i="3"/>
  <c r="G184" i="3"/>
  <c r="F184" i="3"/>
  <c r="E184" i="3"/>
  <c r="B184" i="3"/>
  <c r="K184" i="3"/>
  <c r="C184" i="3"/>
  <c r="D184" i="3"/>
  <c r="A185" i="3"/>
  <c r="L185" i="3" l="1"/>
  <c r="I185" i="3"/>
  <c r="D185" i="3"/>
  <c r="C185" i="3"/>
  <c r="B185" i="3"/>
  <c r="K185" i="3"/>
  <c r="J185" i="3"/>
  <c r="H185" i="3"/>
  <c r="F185" i="3"/>
  <c r="G185" i="3"/>
  <c r="E185" i="3"/>
  <c r="A186" i="3"/>
  <c r="D186" i="3" l="1"/>
  <c r="B186" i="3"/>
  <c r="F186" i="3"/>
  <c r="E186" i="3"/>
  <c r="C186" i="3"/>
  <c r="K186" i="3"/>
  <c r="J186" i="3"/>
  <c r="I186" i="3"/>
  <c r="H186" i="3"/>
  <c r="G186" i="3"/>
  <c r="L186" i="3"/>
  <c r="A187" i="3"/>
  <c r="H187" i="3" l="1"/>
  <c r="F187" i="3"/>
  <c r="D187" i="3"/>
  <c r="L187" i="3"/>
  <c r="K187" i="3"/>
  <c r="J187" i="3"/>
  <c r="E187" i="3"/>
  <c r="I187" i="3"/>
  <c r="G187" i="3"/>
  <c r="C187" i="3"/>
  <c r="B187" i="3"/>
  <c r="A188" i="3"/>
  <c r="L188" i="3" l="1"/>
  <c r="J188" i="3"/>
  <c r="H188" i="3"/>
  <c r="F188" i="3"/>
  <c r="E188" i="3"/>
  <c r="D188" i="3"/>
  <c r="C188" i="3"/>
  <c r="B188" i="3"/>
  <c r="G188" i="3"/>
  <c r="K188" i="3"/>
  <c r="I188" i="3"/>
  <c r="A189" i="3"/>
  <c r="L189" i="3" l="1"/>
  <c r="H189" i="3"/>
  <c r="G189" i="3"/>
  <c r="F189" i="3"/>
  <c r="E189" i="3"/>
  <c r="B189" i="3"/>
  <c r="K189" i="3"/>
  <c r="J189" i="3"/>
  <c r="I189" i="3"/>
  <c r="D189" i="3"/>
  <c r="C189" i="3"/>
  <c r="A190" i="3"/>
  <c r="D190" i="3" l="1"/>
  <c r="B190" i="3"/>
  <c r="L190" i="3"/>
  <c r="I190" i="3"/>
  <c r="C190" i="3"/>
  <c r="K190" i="3"/>
  <c r="J190" i="3"/>
  <c r="H190" i="3"/>
  <c r="G190" i="3"/>
  <c r="F190" i="3"/>
  <c r="E190" i="3"/>
  <c r="A191" i="3"/>
  <c r="H191" i="3" l="1"/>
  <c r="F191" i="3"/>
  <c r="D191" i="3"/>
  <c r="C191" i="3"/>
  <c r="B191" i="3"/>
  <c r="K191" i="3"/>
  <c r="J191" i="3"/>
  <c r="I191" i="3"/>
  <c r="G191" i="3"/>
  <c r="E191" i="3"/>
  <c r="L191" i="3"/>
  <c r="A192" i="3"/>
  <c r="L192" i="3" l="1"/>
  <c r="J192" i="3"/>
  <c r="H192" i="3"/>
  <c r="K192" i="3"/>
  <c r="I192" i="3"/>
  <c r="G192" i="3"/>
  <c r="D192" i="3"/>
  <c r="E192" i="3"/>
  <c r="C192" i="3"/>
  <c r="B192" i="3"/>
  <c r="F192" i="3"/>
  <c r="A193" i="3"/>
  <c r="L193" i="3" l="1"/>
  <c r="K193" i="3"/>
  <c r="F193" i="3"/>
  <c r="E193" i="3"/>
  <c r="D193" i="3"/>
  <c r="C193" i="3"/>
  <c r="B193" i="3"/>
  <c r="J193" i="3"/>
  <c r="I193" i="3"/>
  <c r="H193" i="3"/>
  <c r="G193" i="3"/>
  <c r="A194" i="3"/>
  <c r="D194" i="3" l="1"/>
  <c r="B194" i="3"/>
  <c r="H194" i="3"/>
  <c r="G194" i="3"/>
  <c r="F194" i="3"/>
  <c r="E194" i="3"/>
  <c r="L194" i="3"/>
  <c r="K194" i="3"/>
  <c r="J194" i="3"/>
  <c r="I194" i="3"/>
  <c r="C194" i="3"/>
  <c r="A195" i="3"/>
  <c r="H195" i="3" l="1"/>
  <c r="F195" i="3"/>
  <c r="D195" i="3"/>
  <c r="L195" i="3"/>
  <c r="I195" i="3"/>
  <c r="G195" i="3"/>
  <c r="E195" i="3"/>
  <c r="C195" i="3"/>
  <c r="B195" i="3"/>
  <c r="K195" i="3"/>
  <c r="J195" i="3"/>
  <c r="A196" i="3"/>
  <c r="L196" i="3" l="1"/>
  <c r="J196" i="3"/>
  <c r="H196" i="3"/>
  <c r="C196" i="3"/>
  <c r="B196" i="3"/>
  <c r="I196" i="3"/>
  <c r="G196" i="3"/>
  <c r="F196" i="3"/>
  <c r="E196" i="3"/>
  <c r="D196" i="3"/>
  <c r="K196" i="3"/>
  <c r="A197" i="3"/>
  <c r="L197" i="3" l="1"/>
  <c r="J197" i="3"/>
  <c r="I197" i="3"/>
  <c r="H197" i="3"/>
  <c r="G197" i="3"/>
  <c r="D197" i="3"/>
  <c r="K197" i="3"/>
  <c r="B197" i="3"/>
  <c r="F197" i="3"/>
  <c r="E197" i="3"/>
  <c r="C197" i="3"/>
  <c r="A198" i="3"/>
  <c r="D198" i="3" l="1"/>
  <c r="B198" i="3"/>
  <c r="K198" i="3"/>
  <c r="F198" i="3"/>
  <c r="E198" i="3"/>
  <c r="C198" i="3"/>
  <c r="L198" i="3"/>
  <c r="J198" i="3"/>
  <c r="H198" i="3"/>
  <c r="I198" i="3"/>
  <c r="G198" i="3"/>
  <c r="A199" i="3"/>
  <c r="H199" i="3" l="1"/>
  <c r="F199" i="3"/>
  <c r="D199" i="3"/>
  <c r="G199" i="3"/>
  <c r="E199" i="3"/>
  <c r="C199" i="3"/>
  <c r="B199" i="3"/>
  <c r="L199" i="3"/>
  <c r="K199" i="3"/>
  <c r="J199" i="3"/>
  <c r="I199" i="3"/>
  <c r="A200" i="3"/>
  <c r="L200" i="3" l="1"/>
  <c r="J200" i="3"/>
  <c r="H200" i="3"/>
  <c r="K200" i="3"/>
  <c r="F200" i="3"/>
  <c r="C200" i="3"/>
  <c r="B200" i="3"/>
  <c r="I200" i="3"/>
  <c r="G200" i="3"/>
  <c r="E200" i="3"/>
  <c r="D200" i="3"/>
  <c r="A201" i="3"/>
  <c r="L201" i="3" l="1"/>
  <c r="C201" i="3"/>
  <c r="B201" i="3"/>
  <c r="H201" i="3"/>
  <c r="G201" i="3"/>
  <c r="F201" i="3"/>
  <c r="E201" i="3"/>
  <c r="D201" i="3"/>
  <c r="I201" i="3"/>
  <c r="K201" i="3"/>
  <c r="J201" i="3"/>
  <c r="A202" i="3"/>
  <c r="D202" i="3" l="1"/>
  <c r="B202" i="3"/>
  <c r="K202" i="3"/>
  <c r="J202" i="3"/>
  <c r="I202" i="3"/>
  <c r="H202" i="3"/>
  <c r="E202" i="3"/>
  <c r="L202" i="3"/>
  <c r="G202" i="3"/>
  <c r="F202" i="3"/>
  <c r="C202" i="3"/>
  <c r="A203" i="3"/>
  <c r="H203" i="3" l="1"/>
  <c r="F203" i="3"/>
  <c r="E203" i="3"/>
  <c r="D203" i="3"/>
  <c r="G203" i="3"/>
  <c r="C203" i="3"/>
  <c r="B203" i="3"/>
  <c r="L203" i="3"/>
  <c r="K203" i="3"/>
  <c r="J203" i="3"/>
  <c r="I203" i="3"/>
  <c r="A204" i="3"/>
  <c r="L204" i="3" l="1"/>
  <c r="J204" i="3"/>
  <c r="I204" i="3"/>
  <c r="T12" i="3" s="1"/>
  <c r="H204" i="3"/>
  <c r="T10" i="3" s="1"/>
  <c r="F204" i="3"/>
  <c r="S10" i="3" s="1"/>
  <c r="K204" i="3"/>
  <c r="G204" i="3"/>
  <c r="S12" i="3" s="1"/>
  <c r="E204" i="3"/>
  <c r="R12" i="3" s="1"/>
  <c r="D204" i="3"/>
  <c r="R10" i="3" s="1"/>
  <c r="C204" i="3"/>
  <c r="Q12" i="3" s="1"/>
  <c r="B204" i="3"/>
  <c r="Q10" i="3" s="1"/>
  <c r="U12" i="3" l="1"/>
  <c r="Q13" i="3" s="1"/>
  <c r="U10" i="3"/>
  <c r="Q11" i="3" s="1"/>
  <c r="Q8" i="3"/>
  <c r="S13" i="3"/>
  <c r="R13" i="3"/>
  <c r="S8" i="3"/>
  <c r="R8" i="3"/>
  <c r="T8" i="3"/>
  <c r="T13" i="3"/>
  <c r="R11" i="3" l="1"/>
  <c r="T11" i="3"/>
  <c r="S11" i="3"/>
  <c r="U8" i="3"/>
  <c r="R9" i="3" s="1"/>
  <c r="T9" i="3"/>
  <c r="Q9" i="3" l="1"/>
  <c r="S9" i="3"/>
</calcChain>
</file>

<file path=xl/sharedStrings.xml><?xml version="1.0" encoding="utf-8"?>
<sst xmlns="http://schemas.openxmlformats.org/spreadsheetml/2006/main" count="80" uniqueCount="69">
  <si>
    <t>SN</t>
  </si>
  <si>
    <t>WO</t>
  </si>
  <si>
    <t>Issue</t>
  </si>
  <si>
    <t>Equipment</t>
  </si>
  <si>
    <t>CH</t>
  </si>
  <si>
    <t xml:space="preserve">Operational Current </t>
  </si>
  <si>
    <t>Oper Temperature</t>
  </si>
  <si>
    <t>Oper Wavelength</t>
  </si>
  <si>
    <t>Oper status</t>
  </si>
  <si>
    <t>Max Current</t>
  </si>
  <si>
    <t>Max Temperature</t>
  </si>
  <si>
    <t>Max Wavelength</t>
  </si>
  <si>
    <t>Max status</t>
  </si>
  <si>
    <t>PASS</t>
  </si>
  <si>
    <t>CH1</t>
  </si>
  <si>
    <t>CH2</t>
  </si>
  <si>
    <t>CH3</t>
  </si>
  <si>
    <t>CH4</t>
  </si>
  <si>
    <t>&gt;=0.01</t>
  </si>
  <si>
    <t>&gt;=11</t>
  </si>
  <si>
    <t>&gt;=21</t>
  </si>
  <si>
    <t>&gt;=31</t>
  </si>
  <si>
    <t>&gt;=41</t>
  </si>
  <si>
    <t>&gt;=51</t>
  </si>
  <si>
    <t>&gt;=61</t>
  </si>
  <si>
    <t>Mode Hopping</t>
  </si>
  <si>
    <t>&lt;=10.99</t>
  </si>
  <si>
    <t>&lt;=20.99</t>
  </si>
  <si>
    <t>&lt;=30.99</t>
  </si>
  <si>
    <t>&lt;=40.99</t>
  </si>
  <si>
    <t>&lt;=50.99</t>
  </si>
  <si>
    <t>&lt;=60.99</t>
  </si>
  <si>
    <t>&lt;=70.99</t>
  </si>
  <si>
    <t>Mode Hopping + SMSR</t>
  </si>
  <si>
    <t>Temp °C</t>
  </si>
  <si>
    <t>0-10</t>
  </si>
  <si>
    <t>11-20</t>
  </si>
  <si>
    <t>21-30</t>
  </si>
  <si>
    <t>31-40</t>
  </si>
  <si>
    <t>41-50</t>
  </si>
  <si>
    <t>51-60</t>
  </si>
  <si>
    <t>61-70</t>
  </si>
  <si>
    <t>Total Qty</t>
  </si>
  <si>
    <t>SMSR</t>
  </si>
  <si>
    <t>Qty</t>
  </si>
  <si>
    <t>Multimode WL</t>
  </si>
  <si>
    <t>Oper+Max</t>
  </si>
  <si>
    <t>TxP&lt;-50dBm</t>
  </si>
  <si>
    <t>Operational</t>
  </si>
  <si>
    <t>WL lost</t>
  </si>
  <si>
    <t>Oper %</t>
  </si>
  <si>
    <t>Max</t>
  </si>
  <si>
    <t>Max %</t>
  </si>
  <si>
    <t>No-Pivot Summary  —  Auto SN Collection + SUMIFS Cross-Tab</t>
  </si>
  <si>
    <t>How it works</t>
  </si>
  <si>
    <t>Col A auto-collects unique SNs via AGGREGATE formula. Paste new data into Sheet1 — summary updates automatically.</t>
  </si>
  <si>
    <t>Blue  (col A)</t>
  </si>
  <si>
    <t>AGGREGATE(15,6,...) extracts unique SNs automatically — updates when Sheet1 data changes</t>
  </si>
  <si>
    <t>Row Labels</t>
  </si>
  <si>
    <t>Total
Oper</t>
  </si>
  <si>
    <t>Total
Max</t>
  </si>
  <si>
    <t>Grand
Total</t>
  </si>
  <si>
    <t>Yellow cells</t>
  </si>
  <si>
    <t>Oper Current flag count per CH  =SUMIFS(Sheet1!$F:$F, Sheet1!$A:$A, $A_row, Sheet1!$E:$E, CH$3)</t>
  </si>
  <si>
    <t>Oper</t>
  </si>
  <si>
    <t>SUM</t>
  </si>
  <si>
    <t>Green  cells</t>
  </si>
  <si>
    <t>Max Current flag count per CH   =SUMIFS(Sheet1!$J:$J, Sheet1!$A:$A, $A_row, Sheet1!$E:$E, CH$3)</t>
  </si>
  <si>
    <t>Oper +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</si>
</sst>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444444"/>
      <name val="Arial"/>
      <family val="2"/>
    </font>
    <font>
      <b/>
      <sz val="10"/>
      <color rgb="FF1F4E79"/>
      <name val="Arial"/>
      <family val="2"/>
    </font>
    <font>
      <sz val="10"/>
      <color rgb="FF1F4E79"/>
      <name val="Arial"/>
      <family val="2"/>
    </font>
    <font>
      <sz val="10"/>
      <color rgb="FF375623"/>
      <name val="Arial"/>
      <family val="2"/>
    </font>
    <font>
      <b/>
      <sz val="10"/>
      <color rgb="FF843C0C"/>
      <name val="Arial"/>
      <family val="2"/>
    </font>
    <font>
      <b/>
      <sz val="10"/>
      <color rgb="FF375623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0FB"/>
        <bgColor rgb="FFDDEEFF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BDD7EE"/>
        <bgColor rgb="FF99CCFF"/>
      </patternFill>
    </fill>
    <fill>
      <patternFill patternType="solid">
        <fgColor rgb="FFDDEEFF"/>
        <bgColor rgb="FFEAF0FB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AF0FB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0" fillId="12" borderId="0" xfId="0" applyFill="1"/>
    <xf numFmtId="0" fontId="0" fillId="0" borderId="2" xfId="0" applyBorder="1"/>
    <xf numFmtId="10" fontId="0" fillId="0" borderId="2" xfId="0" applyNumberFormat="1" applyBorder="1"/>
    <xf numFmtId="10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3" fillId="3" borderId="0" xfId="0" applyFont="1" applyFill="1"/>
    <xf numFmtId="0" fontId="0" fillId="0" borderId="0" xfId="0"/>
    <xf numFmtId="0" fontId="0" fillId="0" borderId="5" xfId="0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55555"/>
      <rgbColor rgb="FF70AD47"/>
      <rgbColor rgb="FF003366"/>
      <rgbColor rgb="FF339966"/>
      <rgbColor rgb="FF003300"/>
      <rgbColor rgb="FF375623"/>
      <rgbColor rgb="FF843C0C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 Hopping (Operational + Max)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Distribution'!$Q$5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7"/>
              <c:pt idx="0">
                <c:v>0-10</c:v>
              </c:pt>
              <c:pt idx="1">
                <c:v>11-20</c:v>
              </c:pt>
              <c:pt idx="2">
                <c:v>21-30</c:v>
              </c:pt>
              <c:pt idx="3">
                <c:v>31-40</c:v>
              </c:pt>
              <c:pt idx="4">
                <c:v>41-50</c:v>
              </c:pt>
              <c:pt idx="5">
                <c:v>51-60</c:v>
              </c:pt>
              <c:pt idx="6">
                <c:v>61-70</c:v>
              </c:pt>
            </c:strLit>
          </c:cat>
          <c:val>
            <c:numRef>
              <c:f>'Temperature Distribution'!$R$5:$X$5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37-4ACE-BA53-F2EE1C50E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Distribution'!$Q$7</c:f>
              <c:strCache>
                <c:ptCount val="1"/>
                <c:pt idx="0">
                  <c:v>Operational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7"/>
              <c:pt idx="0">
                <c:v>0-10</c:v>
              </c:pt>
              <c:pt idx="1">
                <c:v>11-20</c:v>
              </c:pt>
              <c:pt idx="2">
                <c:v>21-30</c:v>
              </c:pt>
              <c:pt idx="3">
                <c:v>31-40</c:v>
              </c:pt>
              <c:pt idx="4">
                <c:v>41-50</c:v>
              </c:pt>
              <c:pt idx="5">
                <c:v>51-60</c:v>
              </c:pt>
              <c:pt idx="6">
                <c:v>61-70</c:v>
              </c:pt>
            </c:strLit>
          </c:cat>
          <c:val>
            <c:numRef>
              <c:f>'Temperature Distribution'!$R$7:$X$7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79-4825-9E3C-4023254CC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7"/>
              <c:pt idx="0">
                <c:v>0-10</c:v>
              </c:pt>
              <c:pt idx="1">
                <c:v>11-20</c:v>
              </c:pt>
              <c:pt idx="2">
                <c:v>21-30</c:v>
              </c:pt>
              <c:pt idx="3">
                <c:v>31-40</c:v>
              </c:pt>
              <c:pt idx="4">
                <c:v>41-50</c:v>
              </c:pt>
              <c:pt idx="5">
                <c:v>51-60</c:v>
              </c:pt>
              <c:pt idx="6">
                <c:v>61-70</c:v>
              </c:pt>
            </c:strLit>
          </c:cat>
          <c:val>
            <c:numRef>
              <c:f>'Temperature Distribution'!$R$9:$X$9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17-44BE-A95E-7537406D0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</a:t>
            </a:r>
            <a:r>
              <a:rPr lang="en-US" baseline="0"/>
              <a:t> + </a:t>
            </a: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Distribution'!$P$8</c:f>
              <c:strCache>
                <c:ptCount val="1"/>
                <c:pt idx="0">
                  <c:v>Oper + Max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Ref>
              <c:f>'CH Distribution'!$Q$8:$T$8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86-45A8-A652-374984632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Current_Fail Channel</a:t>
            </a:r>
            <a:r>
              <a:rPr lang="zh-TW" altLang="en-US"/>
              <a:t> </a:t>
            </a:r>
            <a:r>
              <a:rPr lang="en-US" altLang="zh-TW"/>
              <a:t>Ratio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Distribution'!$P$10</c:f>
              <c:strCache>
                <c:ptCount val="1"/>
                <c:pt idx="0">
                  <c:v>Oper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Ref>
              <c:f>'CH Distribution'!$Q$10:$T$10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B-4DB6-8643-F701E871C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Ref>
              <c:f>'CH Distribution'!$Q$12:$T$12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10-47A3-A599-6235513D4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11</xdr:row>
      <xdr:rowOff>0</xdr:rowOff>
    </xdr:from>
    <xdr:to>
      <xdr:col>25</xdr:col>
      <xdr:colOff>7620</xdr:colOff>
      <xdr:row>25</xdr:row>
      <xdr:rowOff>124243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27</xdr:row>
      <xdr:rowOff>0</xdr:rowOff>
    </xdr:from>
    <xdr:to>
      <xdr:col>25</xdr:col>
      <xdr:colOff>0</xdr:colOff>
      <xdr:row>41</xdr:row>
      <xdr:rowOff>127235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7620</xdr:colOff>
      <xdr:row>42</xdr:row>
      <xdr:rowOff>60960</xdr:rowOff>
    </xdr:from>
    <xdr:to>
      <xdr:col>24</xdr:col>
      <xdr:colOff>594359</xdr:colOff>
      <xdr:row>57</xdr:row>
      <xdr:rowOff>10262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15</xdr:row>
      <xdr:rowOff>0</xdr:rowOff>
    </xdr:from>
    <xdr:to>
      <xdr:col>23</xdr:col>
      <xdr:colOff>0</xdr:colOff>
      <xdr:row>28</xdr:row>
      <xdr:rowOff>71716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28</xdr:row>
      <xdr:rowOff>167640</xdr:rowOff>
    </xdr:from>
    <xdr:to>
      <xdr:col>22</xdr:col>
      <xdr:colOff>579120</xdr:colOff>
      <xdr:row>42</xdr:row>
      <xdr:rowOff>41237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43</xdr:row>
      <xdr:rowOff>121920</xdr:rowOff>
    </xdr:from>
    <xdr:to>
      <xdr:col>22</xdr:col>
      <xdr:colOff>579120</xdr:colOff>
      <xdr:row>56</xdr:row>
      <xdr:rowOff>163156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1"/>
  <sheetViews>
    <sheetView tabSelected="1" zoomScaleNormal="100" workbookViewId="0">
      <selection activeCell="N15" sqref="N15"/>
    </sheetView>
  </sheetViews>
  <sheetFormatPr defaultColWidth="8.6640625" defaultRowHeight="14.4" x14ac:dyDescent="0.3"/>
  <cols>
    <col min="1" max="1" width="14.44140625" style="18" customWidth="1"/>
    <col min="2" max="2" width="13.6640625" style="18" customWidth="1"/>
    <col min="13" max="13" width="14.6640625" style="18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/>
    </row>
    <row r="3" spans="1:13" x14ac:dyDescent="0.3">
      <c r="A3"/>
    </row>
    <row r="4" spans="1:13" x14ac:dyDescent="0.3">
      <c r="A4"/>
    </row>
    <row r="5" spans="1:13" x14ac:dyDescent="0.3">
      <c r="A5"/>
    </row>
    <row r="6" spans="1:13" x14ac:dyDescent="0.3">
      <c r="A6"/>
    </row>
    <row r="7" spans="1:13" x14ac:dyDescent="0.3">
      <c r="A7"/>
    </row>
    <row r="8" spans="1:13" x14ac:dyDescent="0.3">
      <c r="A8"/>
    </row>
    <row r="9" spans="1:13" x14ac:dyDescent="0.3">
      <c r="A9"/>
    </row>
    <row r="10" spans="1:13" x14ac:dyDescent="0.3">
      <c r="A10"/>
    </row>
    <row r="11" spans="1:13" x14ac:dyDescent="0.3">
      <c r="A11"/>
    </row>
    <row r="12" spans="1:13" x14ac:dyDescent="0.3">
      <c r="A12"/>
    </row>
    <row r="13" spans="1:13" x14ac:dyDescent="0.3">
      <c r="A13"/>
    </row>
    <row r="14" spans="1:13" x14ac:dyDescent="0.3">
      <c r="A14"/>
    </row>
    <row r="15" spans="1:13" x14ac:dyDescent="0.3">
      <c r="A15"/>
    </row>
    <row r="16" spans="1:13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41"/>
  <sheetViews>
    <sheetView workbookViewId="0">
      <selection activeCell="AA18" sqref="AA18"/>
    </sheetView>
  </sheetViews>
  <sheetFormatPr defaultRowHeight="14.4" x14ac:dyDescent="0.3"/>
  <cols>
    <col min="1" max="1" width="15.109375" style="18" customWidth="1"/>
    <col min="2" max="2" width="11.77734375" style="18" customWidth="1"/>
    <col min="3" max="3" width="12.21875" style="18" customWidth="1"/>
    <col min="4" max="4" width="7.5546875" style="18" customWidth="1"/>
    <col min="5" max="5" width="7.109375" style="18" customWidth="1"/>
    <col min="6" max="6" width="6.77734375" style="18" customWidth="1"/>
    <col min="7" max="7" width="7.33203125" style="18" customWidth="1"/>
    <col min="8" max="8" width="7.44140625" style="18" customWidth="1"/>
    <col min="9" max="9" width="8.21875" style="18" customWidth="1"/>
    <col min="10" max="10" width="7.88671875" style="18" customWidth="1"/>
    <col min="11" max="11" width="6.5546875" style="18" customWidth="1"/>
    <col min="12" max="12" width="6.77734375" style="18" customWidth="1"/>
    <col min="13" max="13" width="8.109375" style="18" customWidth="1"/>
    <col min="26" max="26" width="5.88671875" style="18" customWidth="1"/>
    <col min="27" max="27" width="19.5546875" style="18" customWidth="1"/>
  </cols>
  <sheetData>
    <row r="1" spans="1:28" x14ac:dyDescent="0.3">
      <c r="A1" t="str">
        <f>'Raw Data'!A1</f>
        <v>SN</v>
      </c>
      <c r="B1" t="str">
        <f>'Raw Data'!B1</f>
        <v>WO</v>
      </c>
      <c r="C1" t="str">
        <f>'Raw Data'!C1</f>
        <v>Issue</v>
      </c>
      <c r="D1" t="str">
        <f>'Raw Data'!D1</f>
        <v>Equipment</v>
      </c>
      <c r="E1" t="str">
        <f>'Raw Data'!E1</f>
        <v>CH</v>
      </c>
      <c r="F1" t="str">
        <f>'Raw Data'!F1</f>
        <v xml:space="preserve">Operational Current </v>
      </c>
      <c r="G1" t="str">
        <f>'Raw Data'!G1</f>
        <v>Oper Temperature</v>
      </c>
      <c r="H1" t="str">
        <f>'Raw Data'!H1</f>
        <v>Oper Wavelength</v>
      </c>
      <c r="I1" t="str">
        <f>'Raw Data'!I1</f>
        <v>Oper status</v>
      </c>
      <c r="J1" t="str">
        <f>'Raw Data'!J1</f>
        <v>Max Current</v>
      </c>
      <c r="K1" t="str">
        <f>'Raw Data'!K1</f>
        <v>Max Temperature</v>
      </c>
      <c r="L1" t="str">
        <f>'Raw Data'!L1</f>
        <v>Max Wavelength</v>
      </c>
      <c r="M1" t="str">
        <f>'Raw Data'!M1</f>
        <v>Max status</v>
      </c>
    </row>
    <row r="2" spans="1:28" x14ac:dyDescent="0.3">
      <c r="A2">
        <f>'Raw Data'!A2</f>
        <v>0</v>
      </c>
      <c r="B2">
        <f>'Raw Data'!B2</f>
        <v>0</v>
      </c>
      <c r="C2">
        <f>'Raw Data'!C2</f>
        <v>0</v>
      </c>
      <c r="D2">
        <f>'Raw Data'!D2</f>
        <v>0</v>
      </c>
      <c r="E2">
        <f>'Raw Data'!E2</f>
        <v>0</v>
      </c>
      <c r="F2">
        <f>'Raw Data'!F2</f>
        <v>0</v>
      </c>
      <c r="G2">
        <f>'Raw Data'!G2</f>
        <v>0</v>
      </c>
      <c r="H2">
        <f>'Raw Data'!H2</f>
        <v>0</v>
      </c>
      <c r="I2">
        <f>'Raw Data'!I2</f>
        <v>0</v>
      </c>
      <c r="J2">
        <f>'Raw Data'!J2</f>
        <v>0</v>
      </c>
      <c r="K2">
        <f>'Raw Data'!K2</f>
        <v>0</v>
      </c>
      <c r="L2">
        <f>'Raw Data'!L2</f>
        <v>0</v>
      </c>
      <c r="M2">
        <f>'Raw Data'!M2</f>
        <v>0</v>
      </c>
      <c r="Q2" s="12"/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2" t="s">
        <v>24</v>
      </c>
      <c r="Y2" s="12"/>
      <c r="AA2" s="12" t="s">
        <v>25</v>
      </c>
      <c r="AB2" s="12">
        <f>COUNTIF(C:C, "Mode Hopping")/4</f>
        <v>0</v>
      </c>
    </row>
    <row r="3" spans="1:28" x14ac:dyDescent="0.3">
      <c r="A3">
        <f>'Raw Data'!A3</f>
        <v>0</v>
      </c>
      <c r="B3">
        <f>'Raw Data'!B3</f>
        <v>0</v>
      </c>
      <c r="C3">
        <f>'Raw Data'!C3</f>
        <v>0</v>
      </c>
      <c r="D3">
        <f>'Raw Data'!D3</f>
        <v>0</v>
      </c>
      <c r="E3">
        <f>'Raw Data'!E3</f>
        <v>0</v>
      </c>
      <c r="F3">
        <f>'Raw Data'!F3</f>
        <v>0</v>
      </c>
      <c r="G3">
        <f>'Raw Data'!G3</f>
        <v>0</v>
      </c>
      <c r="H3">
        <f>'Raw Data'!H3</f>
        <v>0</v>
      </c>
      <c r="I3">
        <f>'Raw Data'!I3</f>
        <v>0</v>
      </c>
      <c r="J3">
        <f>'Raw Data'!J3</f>
        <v>0</v>
      </c>
      <c r="K3">
        <f>'Raw Data'!K3</f>
        <v>0</v>
      </c>
      <c r="L3">
        <f>'Raw Data'!L3</f>
        <v>0</v>
      </c>
      <c r="M3">
        <f>'Raw Data'!M3</f>
        <v>0</v>
      </c>
      <c r="Q3" s="12"/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/>
      <c r="AA3" s="12" t="s">
        <v>33</v>
      </c>
      <c r="AB3" s="12">
        <f>COUNTIF(C:C, "Mode Hopping + SMSR")/4</f>
        <v>0</v>
      </c>
    </row>
    <row r="4" spans="1:28" x14ac:dyDescent="0.3">
      <c r="A4">
        <f>'Raw Data'!A4</f>
        <v>0</v>
      </c>
      <c r="B4">
        <f>'Raw Data'!B4</f>
        <v>0</v>
      </c>
      <c r="C4">
        <f>'Raw Data'!C4</f>
        <v>0</v>
      </c>
      <c r="D4">
        <f>'Raw Data'!D4</f>
        <v>0</v>
      </c>
      <c r="E4">
        <f>'Raw Data'!E4</f>
        <v>0</v>
      </c>
      <c r="F4">
        <f>'Raw Data'!F4</f>
        <v>0</v>
      </c>
      <c r="G4">
        <f>'Raw Data'!G4</f>
        <v>0</v>
      </c>
      <c r="H4">
        <f>'Raw Data'!H4</f>
        <v>0</v>
      </c>
      <c r="I4">
        <f>'Raw Data'!I4</f>
        <v>0</v>
      </c>
      <c r="J4">
        <f>'Raw Data'!J4</f>
        <v>0</v>
      </c>
      <c r="K4">
        <f>'Raw Data'!K4</f>
        <v>0</v>
      </c>
      <c r="L4">
        <f>'Raw Data'!L4</f>
        <v>0</v>
      </c>
      <c r="M4">
        <f>'Raw Data'!M4</f>
        <v>0</v>
      </c>
      <c r="Q4" s="12" t="s">
        <v>34</v>
      </c>
      <c r="R4" s="12" t="s">
        <v>35</v>
      </c>
      <c r="S4" s="12" t="s">
        <v>36</v>
      </c>
      <c r="T4" s="12" t="s">
        <v>37</v>
      </c>
      <c r="U4" s="12" t="s">
        <v>38</v>
      </c>
      <c r="V4" s="12" t="s">
        <v>39</v>
      </c>
      <c r="W4" s="12" t="s">
        <v>40</v>
      </c>
      <c r="X4" s="12" t="s">
        <v>41</v>
      </c>
      <c r="Y4" s="12" t="s">
        <v>42</v>
      </c>
      <c r="AA4" s="12" t="s">
        <v>43</v>
      </c>
      <c r="AB4" s="12">
        <f>COUNTIF(C:C, "SMSR")/4</f>
        <v>0</v>
      </c>
    </row>
    <row r="5" spans="1:28" x14ac:dyDescent="0.3">
      <c r="A5">
        <f>'Raw Data'!A5</f>
        <v>0</v>
      </c>
      <c r="B5">
        <f>'Raw Data'!B5</f>
        <v>0</v>
      </c>
      <c r="C5">
        <f>'Raw Data'!C5</f>
        <v>0</v>
      </c>
      <c r="D5">
        <f>'Raw Data'!D5</f>
        <v>0</v>
      </c>
      <c r="E5">
        <f>'Raw Data'!E5</f>
        <v>0</v>
      </c>
      <c r="F5">
        <f>'Raw Data'!F5</f>
        <v>0</v>
      </c>
      <c r="G5">
        <f>'Raw Data'!G5</f>
        <v>0</v>
      </c>
      <c r="H5">
        <f>'Raw Data'!H5</f>
        <v>0</v>
      </c>
      <c r="I5">
        <f>'Raw Data'!I5</f>
        <v>0</v>
      </c>
      <c r="J5">
        <f>'Raw Data'!J5</f>
        <v>0</v>
      </c>
      <c r="K5">
        <f>'Raw Data'!K5</f>
        <v>0</v>
      </c>
      <c r="L5">
        <f>'Raw Data'!L5</f>
        <v>0</v>
      </c>
      <c r="M5">
        <f>'Raw Data'!M5</f>
        <v>0</v>
      </c>
      <c r="Q5" s="12" t="s">
        <v>44</v>
      </c>
      <c r="R5" s="12">
        <f t="shared" ref="R5:X5" si="0">R7+R9</f>
        <v>0</v>
      </c>
      <c r="S5" s="12">
        <f t="shared" si="0"/>
        <v>0</v>
      </c>
      <c r="T5" s="12">
        <f t="shared" si="0"/>
        <v>0</v>
      </c>
      <c r="U5" s="12">
        <f t="shared" si="0"/>
        <v>0</v>
      </c>
      <c r="V5" s="12">
        <f t="shared" si="0"/>
        <v>0</v>
      </c>
      <c r="W5" s="12">
        <f t="shared" si="0"/>
        <v>0</v>
      </c>
      <c r="X5" s="12">
        <f t="shared" si="0"/>
        <v>0</v>
      </c>
      <c r="Y5" s="12">
        <f>SUM(R5:X5)</f>
        <v>0</v>
      </c>
      <c r="AA5" s="12" t="s">
        <v>45</v>
      </c>
      <c r="AB5" s="12">
        <f>COUNTIF(C:C, "Multimode WL")/4</f>
        <v>0</v>
      </c>
    </row>
    <row r="6" spans="1:28" x14ac:dyDescent="0.3">
      <c r="A6">
        <f>'Raw Data'!A6</f>
        <v>0</v>
      </c>
      <c r="B6">
        <f>'Raw Data'!B6</f>
        <v>0</v>
      </c>
      <c r="C6">
        <f>'Raw Data'!C6</f>
        <v>0</v>
      </c>
      <c r="D6">
        <f>'Raw Data'!D6</f>
        <v>0</v>
      </c>
      <c r="E6">
        <f>'Raw Data'!E6</f>
        <v>0</v>
      </c>
      <c r="F6">
        <f>'Raw Data'!F6</f>
        <v>0</v>
      </c>
      <c r="G6">
        <f>'Raw Data'!G6</f>
        <v>0</v>
      </c>
      <c r="H6">
        <f>'Raw Data'!H6</f>
        <v>0</v>
      </c>
      <c r="I6">
        <f>'Raw Data'!I6</f>
        <v>0</v>
      </c>
      <c r="J6">
        <f>'Raw Data'!J6</f>
        <v>0</v>
      </c>
      <c r="K6">
        <f>'Raw Data'!K6</f>
        <v>0</v>
      </c>
      <c r="L6">
        <f>'Raw Data'!L6</f>
        <v>0</v>
      </c>
      <c r="M6">
        <f>'Raw Data'!M6</f>
        <v>0</v>
      </c>
      <c r="Q6" s="12" t="s">
        <v>46</v>
      </c>
      <c r="R6" s="13" t="e">
        <f t="shared" ref="R6:X6" si="1">R5/$Y$5</f>
        <v>#DIV/0!</v>
      </c>
      <c r="S6" s="13" t="e">
        <f t="shared" si="1"/>
        <v>#DIV/0!</v>
      </c>
      <c r="T6" s="13" t="e">
        <f t="shared" si="1"/>
        <v>#DIV/0!</v>
      </c>
      <c r="U6" s="13" t="e">
        <f t="shared" si="1"/>
        <v>#DIV/0!</v>
      </c>
      <c r="V6" s="13" t="e">
        <f t="shared" si="1"/>
        <v>#DIV/0!</v>
      </c>
      <c r="W6" s="13" t="e">
        <f t="shared" si="1"/>
        <v>#DIV/0!</v>
      </c>
      <c r="X6" s="13" t="e">
        <f t="shared" si="1"/>
        <v>#DIV/0!</v>
      </c>
      <c r="Y6" s="12"/>
      <c r="AA6" s="12" t="s">
        <v>47</v>
      </c>
      <c r="AB6" s="12">
        <f>COUNTIF(C:C, "TxP&lt;-50dBm")/4</f>
        <v>0</v>
      </c>
    </row>
    <row r="7" spans="1:28" x14ac:dyDescent="0.3">
      <c r="A7">
        <f>'Raw Data'!A7</f>
        <v>0</v>
      </c>
      <c r="B7">
        <f>'Raw Data'!B7</f>
        <v>0</v>
      </c>
      <c r="C7">
        <f>'Raw Data'!C7</f>
        <v>0</v>
      </c>
      <c r="D7">
        <f>'Raw Data'!D7</f>
        <v>0</v>
      </c>
      <c r="E7">
        <f>'Raw Data'!E7</f>
        <v>0</v>
      </c>
      <c r="F7">
        <f>'Raw Data'!F7</f>
        <v>0</v>
      </c>
      <c r="G7">
        <f>'Raw Data'!G7</f>
        <v>0</v>
      </c>
      <c r="H7">
        <f>'Raw Data'!H7</f>
        <v>0</v>
      </c>
      <c r="I7">
        <f>'Raw Data'!I7</f>
        <v>0</v>
      </c>
      <c r="J7">
        <f>'Raw Data'!J7</f>
        <v>0</v>
      </c>
      <c r="K7">
        <f>'Raw Data'!K7</f>
        <v>0</v>
      </c>
      <c r="L7">
        <f>'Raw Data'!L7</f>
        <v>0</v>
      </c>
      <c r="M7">
        <f>'Raw Data'!M7</f>
        <v>0</v>
      </c>
      <c r="Q7" s="12" t="s">
        <v>48</v>
      </c>
      <c r="R7" s="12">
        <f t="shared" ref="R7:X7" si="2">COUNTIFS($G:$G,R2,$G:$G,R3)</f>
        <v>0</v>
      </c>
      <c r="S7" s="12">
        <f t="shared" si="2"/>
        <v>0</v>
      </c>
      <c r="T7" s="12">
        <f t="shared" si="2"/>
        <v>0</v>
      </c>
      <c r="U7" s="12">
        <f t="shared" si="2"/>
        <v>0</v>
      </c>
      <c r="V7" s="12">
        <f t="shared" si="2"/>
        <v>0</v>
      </c>
      <c r="W7" s="12">
        <f t="shared" si="2"/>
        <v>0</v>
      </c>
      <c r="X7" s="12">
        <f t="shared" si="2"/>
        <v>0</v>
      </c>
      <c r="Y7" s="12">
        <f>SUM(R7:X7)</f>
        <v>0</v>
      </c>
      <c r="AA7" s="12" t="s">
        <v>49</v>
      </c>
      <c r="AB7" s="12">
        <f>COUNTIF(C:C, "WL lost")/4</f>
        <v>0</v>
      </c>
    </row>
    <row r="8" spans="1:28" x14ac:dyDescent="0.3">
      <c r="A8">
        <f>'Raw Data'!A8</f>
        <v>0</v>
      </c>
      <c r="B8">
        <f>'Raw Data'!B8</f>
        <v>0</v>
      </c>
      <c r="C8">
        <f>'Raw Data'!C8</f>
        <v>0</v>
      </c>
      <c r="D8">
        <f>'Raw Data'!D8</f>
        <v>0</v>
      </c>
      <c r="E8">
        <f>'Raw Data'!E8</f>
        <v>0</v>
      </c>
      <c r="F8">
        <f>'Raw Data'!F8</f>
        <v>0</v>
      </c>
      <c r="G8">
        <f>'Raw Data'!G8</f>
        <v>0</v>
      </c>
      <c r="H8">
        <f>'Raw Data'!H8</f>
        <v>0</v>
      </c>
      <c r="I8">
        <f>'Raw Data'!I8</f>
        <v>0</v>
      </c>
      <c r="J8">
        <f>'Raw Data'!J8</f>
        <v>0</v>
      </c>
      <c r="K8">
        <f>'Raw Data'!K8</f>
        <v>0</v>
      </c>
      <c r="L8">
        <f>'Raw Data'!L8</f>
        <v>0</v>
      </c>
      <c r="M8">
        <f>'Raw Data'!M8</f>
        <v>0</v>
      </c>
      <c r="Q8" s="12" t="s">
        <v>50</v>
      </c>
      <c r="R8" s="13" t="e">
        <f t="shared" ref="R8:X8" si="3">R7/$Y$7</f>
        <v>#DIV/0!</v>
      </c>
      <c r="S8" s="13" t="e">
        <f t="shared" si="3"/>
        <v>#DIV/0!</v>
      </c>
      <c r="T8" s="13" t="e">
        <f t="shared" si="3"/>
        <v>#DIV/0!</v>
      </c>
      <c r="U8" s="13" t="e">
        <f t="shared" si="3"/>
        <v>#DIV/0!</v>
      </c>
      <c r="V8" s="13" t="e">
        <f t="shared" si="3"/>
        <v>#DIV/0!</v>
      </c>
      <c r="W8" s="13" t="e">
        <f t="shared" si="3"/>
        <v>#DIV/0!</v>
      </c>
      <c r="X8" s="13" t="e">
        <f t="shared" si="3"/>
        <v>#DIV/0!</v>
      </c>
      <c r="Y8" s="12"/>
      <c r="AA8" s="12" t="s">
        <v>13</v>
      </c>
      <c r="AB8" s="12">
        <f>COUNTIF(C:C, "PASS")/4</f>
        <v>0</v>
      </c>
    </row>
    <row r="9" spans="1:28" x14ac:dyDescent="0.3">
      <c r="A9">
        <f>'Raw Data'!A9</f>
        <v>0</v>
      </c>
      <c r="B9">
        <f>'Raw Data'!B9</f>
        <v>0</v>
      </c>
      <c r="C9">
        <f>'Raw Data'!C9</f>
        <v>0</v>
      </c>
      <c r="D9">
        <f>'Raw Data'!D9</f>
        <v>0</v>
      </c>
      <c r="E9">
        <f>'Raw Data'!E9</f>
        <v>0</v>
      </c>
      <c r="F9">
        <f>'Raw Data'!F9</f>
        <v>0</v>
      </c>
      <c r="G9">
        <f>'Raw Data'!G9</f>
        <v>0</v>
      </c>
      <c r="H9">
        <f>'Raw Data'!H9</f>
        <v>0</v>
      </c>
      <c r="I9">
        <f>'Raw Data'!I9</f>
        <v>0</v>
      </c>
      <c r="J9">
        <f>'Raw Data'!J9</f>
        <v>0</v>
      </c>
      <c r="K9">
        <f>'Raw Data'!K9</f>
        <v>0</v>
      </c>
      <c r="L9">
        <f>'Raw Data'!L9</f>
        <v>0</v>
      </c>
      <c r="M9">
        <f>'Raw Data'!M9</f>
        <v>0</v>
      </c>
      <c r="Q9" s="12" t="s">
        <v>51</v>
      </c>
      <c r="R9" s="12">
        <f t="shared" ref="R9:X9" si="4">COUNTIFS($K:$K,R2,$K:$K,R3)</f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>SUM(R9:X9)</f>
        <v>0</v>
      </c>
    </row>
    <row r="10" spans="1:28" x14ac:dyDescent="0.3">
      <c r="A10">
        <f>'Raw Data'!A10</f>
        <v>0</v>
      </c>
      <c r="B10">
        <f>'Raw Data'!B10</f>
        <v>0</v>
      </c>
      <c r="C10">
        <f>'Raw Data'!C10</f>
        <v>0</v>
      </c>
      <c r="D10">
        <f>'Raw Data'!D10</f>
        <v>0</v>
      </c>
      <c r="E10">
        <f>'Raw Data'!E10</f>
        <v>0</v>
      </c>
      <c r="F10">
        <f>'Raw Data'!F10</f>
        <v>0</v>
      </c>
      <c r="G10">
        <f>'Raw Data'!G10</f>
        <v>0</v>
      </c>
      <c r="H10">
        <f>'Raw Data'!H10</f>
        <v>0</v>
      </c>
      <c r="I10">
        <f>'Raw Data'!I10</f>
        <v>0</v>
      </c>
      <c r="J10">
        <f>'Raw Data'!J10</f>
        <v>0</v>
      </c>
      <c r="K10">
        <f>'Raw Data'!K10</f>
        <v>0</v>
      </c>
      <c r="L10">
        <f>'Raw Data'!L10</f>
        <v>0</v>
      </c>
      <c r="M10">
        <f>'Raw Data'!M10</f>
        <v>0</v>
      </c>
      <c r="Q10" s="12" t="s">
        <v>52</v>
      </c>
      <c r="R10" s="13" t="e">
        <f t="shared" ref="R10:X10" si="5">R9/$Y$9</f>
        <v>#DIV/0!</v>
      </c>
      <c r="S10" s="13" t="e">
        <f t="shared" si="5"/>
        <v>#DIV/0!</v>
      </c>
      <c r="T10" s="13" t="e">
        <f t="shared" si="5"/>
        <v>#DIV/0!</v>
      </c>
      <c r="U10" s="13" t="e">
        <f t="shared" si="5"/>
        <v>#DIV/0!</v>
      </c>
      <c r="V10" s="13" t="e">
        <f t="shared" si="5"/>
        <v>#DIV/0!</v>
      </c>
      <c r="W10" s="13" t="e">
        <f t="shared" si="5"/>
        <v>#DIV/0!</v>
      </c>
      <c r="X10" s="13" t="e">
        <f t="shared" si="5"/>
        <v>#DIV/0!</v>
      </c>
      <c r="Y10" s="12"/>
    </row>
    <row r="11" spans="1:28" x14ac:dyDescent="0.3">
      <c r="A11">
        <f>'Raw Data'!A11</f>
        <v>0</v>
      </c>
      <c r="B11">
        <f>'Raw Data'!B11</f>
        <v>0</v>
      </c>
      <c r="C11">
        <f>'Raw Data'!C11</f>
        <v>0</v>
      </c>
      <c r="D11">
        <f>'Raw Data'!D11</f>
        <v>0</v>
      </c>
      <c r="E11">
        <f>'Raw Data'!E11</f>
        <v>0</v>
      </c>
      <c r="F11">
        <f>'Raw Data'!F11</f>
        <v>0</v>
      </c>
      <c r="G11">
        <f>'Raw Data'!G11</f>
        <v>0</v>
      </c>
      <c r="H11">
        <f>'Raw Data'!H11</f>
        <v>0</v>
      </c>
      <c r="I11">
        <f>'Raw Data'!I11</f>
        <v>0</v>
      </c>
      <c r="J11">
        <f>'Raw Data'!J11</f>
        <v>0</v>
      </c>
      <c r="K11">
        <f>'Raw Data'!K11</f>
        <v>0</v>
      </c>
      <c r="L11">
        <f>'Raw Data'!L11</f>
        <v>0</v>
      </c>
      <c r="M11">
        <f>'Raw Data'!M11</f>
        <v>0</v>
      </c>
    </row>
    <row r="12" spans="1:28" x14ac:dyDescent="0.3">
      <c r="A12">
        <f>'Raw Data'!A12</f>
        <v>0</v>
      </c>
      <c r="B12">
        <f>'Raw Data'!B12</f>
        <v>0</v>
      </c>
      <c r="C12">
        <f>'Raw Data'!C12</f>
        <v>0</v>
      </c>
      <c r="D12">
        <f>'Raw Data'!D12</f>
        <v>0</v>
      </c>
      <c r="E12">
        <f>'Raw Data'!E12</f>
        <v>0</v>
      </c>
      <c r="F12">
        <f>'Raw Data'!F12</f>
        <v>0</v>
      </c>
      <c r="G12">
        <f>'Raw Data'!G12</f>
        <v>0</v>
      </c>
      <c r="H12">
        <f>'Raw Data'!H12</f>
        <v>0</v>
      </c>
      <c r="I12">
        <f>'Raw Data'!I12</f>
        <v>0</v>
      </c>
      <c r="J12">
        <f>'Raw Data'!J12</f>
        <v>0</v>
      </c>
      <c r="K12">
        <f>'Raw Data'!K12</f>
        <v>0</v>
      </c>
      <c r="L12">
        <f>'Raw Data'!L12</f>
        <v>0</v>
      </c>
      <c r="M12">
        <f>'Raw Data'!M12</f>
        <v>0</v>
      </c>
    </row>
    <row r="13" spans="1:28" x14ac:dyDescent="0.3">
      <c r="A13">
        <f>'Raw Data'!A13</f>
        <v>0</v>
      </c>
      <c r="B13">
        <f>'Raw Data'!B13</f>
        <v>0</v>
      </c>
      <c r="C13">
        <f>'Raw Data'!C13</f>
        <v>0</v>
      </c>
      <c r="D13">
        <f>'Raw Data'!D13</f>
        <v>0</v>
      </c>
      <c r="E13">
        <f>'Raw Data'!E13</f>
        <v>0</v>
      </c>
      <c r="F13">
        <f>'Raw Data'!F13</f>
        <v>0</v>
      </c>
      <c r="G13">
        <f>'Raw Data'!G13</f>
        <v>0</v>
      </c>
      <c r="H13">
        <f>'Raw Data'!H13</f>
        <v>0</v>
      </c>
      <c r="I13">
        <f>'Raw Data'!I13</f>
        <v>0</v>
      </c>
      <c r="J13">
        <f>'Raw Data'!J13</f>
        <v>0</v>
      </c>
      <c r="K13">
        <f>'Raw Data'!K13</f>
        <v>0</v>
      </c>
      <c r="L13">
        <f>'Raw Data'!L13</f>
        <v>0</v>
      </c>
      <c r="M13">
        <f>'Raw Data'!M13</f>
        <v>0</v>
      </c>
    </row>
    <row r="14" spans="1:28" x14ac:dyDescent="0.3">
      <c r="A14">
        <f>'Raw Data'!A14</f>
        <v>0</v>
      </c>
      <c r="B14">
        <f>'Raw Data'!B14</f>
        <v>0</v>
      </c>
      <c r="C14">
        <f>'Raw Data'!C14</f>
        <v>0</v>
      </c>
      <c r="D14">
        <f>'Raw Data'!D14</f>
        <v>0</v>
      </c>
      <c r="E14">
        <f>'Raw Data'!E14</f>
        <v>0</v>
      </c>
      <c r="F14">
        <f>'Raw Data'!F14</f>
        <v>0</v>
      </c>
      <c r="G14">
        <f>'Raw Data'!G14</f>
        <v>0</v>
      </c>
      <c r="H14">
        <f>'Raw Data'!H14</f>
        <v>0</v>
      </c>
      <c r="I14">
        <f>'Raw Data'!I14</f>
        <v>0</v>
      </c>
      <c r="J14">
        <f>'Raw Data'!J14</f>
        <v>0</v>
      </c>
      <c r="K14">
        <f>'Raw Data'!K14</f>
        <v>0</v>
      </c>
      <c r="L14">
        <f>'Raw Data'!L14</f>
        <v>0</v>
      </c>
      <c r="M14">
        <f>'Raw Data'!M14</f>
        <v>0</v>
      </c>
    </row>
    <row r="15" spans="1:28" x14ac:dyDescent="0.3">
      <c r="A15">
        <f>'Raw Data'!A15</f>
        <v>0</v>
      </c>
      <c r="B15">
        <f>'Raw Data'!B15</f>
        <v>0</v>
      </c>
      <c r="C15">
        <f>'Raw Data'!C15</f>
        <v>0</v>
      </c>
      <c r="D15">
        <f>'Raw Data'!D15</f>
        <v>0</v>
      </c>
      <c r="E15">
        <f>'Raw Data'!E15</f>
        <v>0</v>
      </c>
      <c r="F15">
        <f>'Raw Data'!F15</f>
        <v>0</v>
      </c>
      <c r="G15">
        <f>'Raw Data'!G15</f>
        <v>0</v>
      </c>
      <c r="H15">
        <f>'Raw Data'!H15</f>
        <v>0</v>
      </c>
      <c r="I15">
        <f>'Raw Data'!I15</f>
        <v>0</v>
      </c>
      <c r="J15">
        <f>'Raw Data'!J15</f>
        <v>0</v>
      </c>
      <c r="K15">
        <f>'Raw Data'!K15</f>
        <v>0</v>
      </c>
      <c r="L15">
        <f>'Raw Data'!L15</f>
        <v>0</v>
      </c>
      <c r="M15">
        <f>'Raw Data'!M15</f>
        <v>0</v>
      </c>
    </row>
    <row r="16" spans="1:28" x14ac:dyDescent="0.3">
      <c r="A16">
        <f>'Raw Data'!A16</f>
        <v>0</v>
      </c>
      <c r="B16">
        <f>'Raw Data'!B16</f>
        <v>0</v>
      </c>
      <c r="C16">
        <f>'Raw Data'!C16</f>
        <v>0</v>
      </c>
      <c r="D16">
        <f>'Raw Data'!D16</f>
        <v>0</v>
      </c>
      <c r="E16">
        <f>'Raw Data'!E16</f>
        <v>0</v>
      </c>
      <c r="F16">
        <f>'Raw Data'!F16</f>
        <v>0</v>
      </c>
      <c r="G16">
        <f>'Raw Data'!G16</f>
        <v>0</v>
      </c>
      <c r="H16">
        <f>'Raw Data'!H16</f>
        <v>0</v>
      </c>
      <c r="I16">
        <f>'Raw Data'!I16</f>
        <v>0</v>
      </c>
      <c r="J16">
        <f>'Raw Data'!J16</f>
        <v>0</v>
      </c>
      <c r="K16">
        <f>'Raw Data'!K16</f>
        <v>0</v>
      </c>
      <c r="L16">
        <f>'Raw Data'!L16</f>
        <v>0</v>
      </c>
      <c r="M16">
        <f>'Raw Data'!M16</f>
        <v>0</v>
      </c>
    </row>
    <row r="17" spans="1:13" x14ac:dyDescent="0.3">
      <c r="A17">
        <f>'Raw Data'!A17</f>
        <v>0</v>
      </c>
      <c r="B17">
        <f>'Raw Data'!B17</f>
        <v>0</v>
      </c>
      <c r="C17">
        <f>'Raw Data'!C17</f>
        <v>0</v>
      </c>
      <c r="D17">
        <f>'Raw Data'!D17</f>
        <v>0</v>
      </c>
      <c r="E17">
        <f>'Raw Data'!E17</f>
        <v>0</v>
      </c>
      <c r="F17">
        <f>'Raw Data'!F17</f>
        <v>0</v>
      </c>
      <c r="G17">
        <f>'Raw Data'!G17</f>
        <v>0</v>
      </c>
      <c r="H17">
        <f>'Raw Data'!H17</f>
        <v>0</v>
      </c>
      <c r="I17">
        <f>'Raw Data'!I17</f>
        <v>0</v>
      </c>
      <c r="J17">
        <f>'Raw Data'!J17</f>
        <v>0</v>
      </c>
      <c r="K17">
        <f>'Raw Data'!K17</f>
        <v>0</v>
      </c>
      <c r="L17">
        <f>'Raw Data'!L17</f>
        <v>0</v>
      </c>
      <c r="M17">
        <f>'Raw Data'!M17</f>
        <v>0</v>
      </c>
    </row>
    <row r="18" spans="1:13" x14ac:dyDescent="0.3">
      <c r="A18">
        <f>'Raw Data'!A18</f>
        <v>0</v>
      </c>
      <c r="B18">
        <f>'Raw Data'!B18</f>
        <v>0</v>
      </c>
      <c r="C18">
        <f>'Raw Data'!C18</f>
        <v>0</v>
      </c>
      <c r="D18">
        <f>'Raw Data'!D18</f>
        <v>0</v>
      </c>
      <c r="E18">
        <f>'Raw Data'!E18</f>
        <v>0</v>
      </c>
      <c r="F18">
        <f>'Raw Data'!F18</f>
        <v>0</v>
      </c>
      <c r="G18">
        <f>'Raw Data'!G18</f>
        <v>0</v>
      </c>
      <c r="H18">
        <f>'Raw Data'!H18</f>
        <v>0</v>
      </c>
      <c r="I18">
        <f>'Raw Data'!I18</f>
        <v>0</v>
      </c>
      <c r="J18">
        <f>'Raw Data'!J18</f>
        <v>0</v>
      </c>
      <c r="K18">
        <f>'Raw Data'!K18</f>
        <v>0</v>
      </c>
      <c r="L18">
        <f>'Raw Data'!L18</f>
        <v>0</v>
      </c>
      <c r="M18">
        <f>'Raw Data'!M18</f>
        <v>0</v>
      </c>
    </row>
    <row r="19" spans="1:13" x14ac:dyDescent="0.3">
      <c r="A19">
        <f>'Raw Data'!A19</f>
        <v>0</v>
      </c>
      <c r="B19">
        <f>'Raw Data'!B19</f>
        <v>0</v>
      </c>
      <c r="C19">
        <f>'Raw Data'!C19</f>
        <v>0</v>
      </c>
      <c r="D19">
        <f>'Raw Data'!D19</f>
        <v>0</v>
      </c>
      <c r="E19">
        <f>'Raw Data'!E19</f>
        <v>0</v>
      </c>
      <c r="F19">
        <f>'Raw Data'!F19</f>
        <v>0</v>
      </c>
      <c r="G19">
        <f>'Raw Data'!G19</f>
        <v>0</v>
      </c>
      <c r="H19">
        <f>'Raw Data'!H19</f>
        <v>0</v>
      </c>
      <c r="I19">
        <f>'Raw Data'!I19</f>
        <v>0</v>
      </c>
      <c r="J19">
        <f>'Raw Data'!J19</f>
        <v>0</v>
      </c>
      <c r="K19">
        <f>'Raw Data'!K19</f>
        <v>0</v>
      </c>
      <c r="L19">
        <f>'Raw Data'!L19</f>
        <v>0</v>
      </c>
      <c r="M19">
        <f>'Raw Data'!M19</f>
        <v>0</v>
      </c>
    </row>
    <row r="20" spans="1:13" x14ac:dyDescent="0.3">
      <c r="A20">
        <f>'Raw Data'!A20</f>
        <v>0</v>
      </c>
      <c r="B20">
        <f>'Raw Data'!B20</f>
        <v>0</v>
      </c>
      <c r="C20">
        <f>'Raw Data'!C20</f>
        <v>0</v>
      </c>
      <c r="D20">
        <f>'Raw Data'!D20</f>
        <v>0</v>
      </c>
      <c r="E20">
        <f>'Raw Data'!E20</f>
        <v>0</v>
      </c>
      <c r="F20">
        <f>'Raw Data'!F20</f>
        <v>0</v>
      </c>
      <c r="G20">
        <f>'Raw Data'!G20</f>
        <v>0</v>
      </c>
      <c r="H20">
        <f>'Raw Data'!H20</f>
        <v>0</v>
      </c>
      <c r="I20">
        <f>'Raw Data'!I20</f>
        <v>0</v>
      </c>
      <c r="J20">
        <f>'Raw Data'!J20</f>
        <v>0</v>
      </c>
      <c r="K20">
        <f>'Raw Data'!K20</f>
        <v>0</v>
      </c>
      <c r="L20">
        <f>'Raw Data'!L20</f>
        <v>0</v>
      </c>
      <c r="M20">
        <f>'Raw Data'!M20</f>
        <v>0</v>
      </c>
    </row>
    <row r="21" spans="1:13" x14ac:dyDescent="0.3">
      <c r="A21">
        <f>'Raw Data'!A21</f>
        <v>0</v>
      </c>
      <c r="B21">
        <f>'Raw Data'!B21</f>
        <v>0</v>
      </c>
      <c r="C21">
        <f>'Raw Data'!C21</f>
        <v>0</v>
      </c>
      <c r="D21">
        <f>'Raw Data'!D21</f>
        <v>0</v>
      </c>
      <c r="E21">
        <f>'Raw Data'!E21</f>
        <v>0</v>
      </c>
      <c r="F21">
        <f>'Raw Data'!F21</f>
        <v>0</v>
      </c>
      <c r="G21">
        <f>'Raw Data'!G21</f>
        <v>0</v>
      </c>
      <c r="H21">
        <f>'Raw Data'!H21</f>
        <v>0</v>
      </c>
      <c r="I21">
        <f>'Raw Data'!I21</f>
        <v>0</v>
      </c>
      <c r="J21">
        <f>'Raw Data'!J21</f>
        <v>0</v>
      </c>
      <c r="K21">
        <f>'Raw Data'!K21</f>
        <v>0</v>
      </c>
      <c r="L21">
        <f>'Raw Data'!L21</f>
        <v>0</v>
      </c>
      <c r="M21">
        <f>'Raw Data'!M21</f>
        <v>0</v>
      </c>
    </row>
    <row r="22" spans="1:13" x14ac:dyDescent="0.3">
      <c r="A22">
        <f>'Raw Data'!A22</f>
        <v>0</v>
      </c>
      <c r="B22">
        <f>'Raw Data'!B22</f>
        <v>0</v>
      </c>
      <c r="C22">
        <f>'Raw Data'!C22</f>
        <v>0</v>
      </c>
      <c r="D22">
        <f>'Raw Data'!D22</f>
        <v>0</v>
      </c>
      <c r="E22">
        <f>'Raw Data'!E22</f>
        <v>0</v>
      </c>
      <c r="F22">
        <f>'Raw Data'!F22</f>
        <v>0</v>
      </c>
      <c r="G22">
        <f>'Raw Data'!G22</f>
        <v>0</v>
      </c>
      <c r="H22">
        <f>'Raw Data'!H22</f>
        <v>0</v>
      </c>
      <c r="I22">
        <f>'Raw Data'!I22</f>
        <v>0</v>
      </c>
      <c r="J22">
        <f>'Raw Data'!J22</f>
        <v>0</v>
      </c>
      <c r="K22">
        <f>'Raw Data'!K22</f>
        <v>0</v>
      </c>
      <c r="L22">
        <f>'Raw Data'!L22</f>
        <v>0</v>
      </c>
      <c r="M22">
        <f>'Raw Data'!M22</f>
        <v>0</v>
      </c>
    </row>
    <row r="23" spans="1:13" x14ac:dyDescent="0.3">
      <c r="A23">
        <f>'Raw Data'!A23</f>
        <v>0</v>
      </c>
      <c r="B23">
        <f>'Raw Data'!B23</f>
        <v>0</v>
      </c>
      <c r="C23">
        <f>'Raw Data'!C23</f>
        <v>0</v>
      </c>
      <c r="D23">
        <f>'Raw Data'!D23</f>
        <v>0</v>
      </c>
      <c r="E23">
        <f>'Raw Data'!E23</f>
        <v>0</v>
      </c>
      <c r="F23">
        <f>'Raw Data'!F23</f>
        <v>0</v>
      </c>
      <c r="G23">
        <f>'Raw Data'!G23</f>
        <v>0</v>
      </c>
      <c r="H23">
        <f>'Raw Data'!H23</f>
        <v>0</v>
      </c>
      <c r="I23">
        <f>'Raw Data'!I23</f>
        <v>0</v>
      </c>
      <c r="J23">
        <f>'Raw Data'!J23</f>
        <v>0</v>
      </c>
      <c r="K23">
        <f>'Raw Data'!K23</f>
        <v>0</v>
      </c>
      <c r="L23">
        <f>'Raw Data'!L23</f>
        <v>0</v>
      </c>
      <c r="M23">
        <f>'Raw Data'!M23</f>
        <v>0</v>
      </c>
    </row>
    <row r="24" spans="1:13" x14ac:dyDescent="0.3">
      <c r="A24">
        <f>'Raw Data'!A24</f>
        <v>0</v>
      </c>
      <c r="B24">
        <f>'Raw Data'!B24</f>
        <v>0</v>
      </c>
      <c r="C24">
        <f>'Raw Data'!C24</f>
        <v>0</v>
      </c>
      <c r="D24">
        <f>'Raw Data'!D24</f>
        <v>0</v>
      </c>
      <c r="E24">
        <f>'Raw Data'!E24</f>
        <v>0</v>
      </c>
      <c r="F24">
        <f>'Raw Data'!F24</f>
        <v>0</v>
      </c>
      <c r="G24">
        <f>'Raw Data'!G24</f>
        <v>0</v>
      </c>
      <c r="H24">
        <f>'Raw Data'!H24</f>
        <v>0</v>
      </c>
      <c r="I24">
        <f>'Raw Data'!I24</f>
        <v>0</v>
      </c>
      <c r="J24">
        <f>'Raw Data'!J24</f>
        <v>0</v>
      </c>
      <c r="K24">
        <f>'Raw Data'!K24</f>
        <v>0</v>
      </c>
      <c r="L24">
        <f>'Raw Data'!L24</f>
        <v>0</v>
      </c>
      <c r="M24">
        <f>'Raw Data'!M24</f>
        <v>0</v>
      </c>
    </row>
    <row r="25" spans="1:13" x14ac:dyDescent="0.3">
      <c r="A25">
        <f>'Raw Data'!A25</f>
        <v>0</v>
      </c>
      <c r="B25">
        <f>'Raw Data'!B25</f>
        <v>0</v>
      </c>
      <c r="C25">
        <f>'Raw Data'!C25</f>
        <v>0</v>
      </c>
      <c r="D25">
        <f>'Raw Data'!D25</f>
        <v>0</v>
      </c>
      <c r="E25">
        <f>'Raw Data'!E25</f>
        <v>0</v>
      </c>
      <c r="F25">
        <f>'Raw Data'!F25</f>
        <v>0</v>
      </c>
      <c r="G25">
        <f>'Raw Data'!G25</f>
        <v>0</v>
      </c>
      <c r="H25">
        <f>'Raw Data'!H25</f>
        <v>0</v>
      </c>
      <c r="I25">
        <f>'Raw Data'!I25</f>
        <v>0</v>
      </c>
      <c r="J25">
        <f>'Raw Data'!J25</f>
        <v>0</v>
      </c>
      <c r="K25">
        <f>'Raw Data'!K25</f>
        <v>0</v>
      </c>
      <c r="L25">
        <f>'Raw Data'!L25</f>
        <v>0</v>
      </c>
      <c r="M25">
        <f>'Raw Data'!M25</f>
        <v>0</v>
      </c>
    </row>
    <row r="26" spans="1:13" x14ac:dyDescent="0.3">
      <c r="A26">
        <f>'Raw Data'!A26</f>
        <v>0</v>
      </c>
      <c r="B26">
        <f>'Raw Data'!B26</f>
        <v>0</v>
      </c>
      <c r="C26">
        <f>'Raw Data'!C26</f>
        <v>0</v>
      </c>
      <c r="D26">
        <f>'Raw Data'!D26</f>
        <v>0</v>
      </c>
      <c r="E26">
        <f>'Raw Data'!E26</f>
        <v>0</v>
      </c>
      <c r="F26">
        <f>'Raw Data'!F26</f>
        <v>0</v>
      </c>
      <c r="G26">
        <f>'Raw Data'!G26</f>
        <v>0</v>
      </c>
      <c r="H26">
        <f>'Raw Data'!H26</f>
        <v>0</v>
      </c>
      <c r="I26">
        <f>'Raw Data'!I26</f>
        <v>0</v>
      </c>
      <c r="J26">
        <f>'Raw Data'!J26</f>
        <v>0</v>
      </c>
      <c r="K26">
        <f>'Raw Data'!K26</f>
        <v>0</v>
      </c>
      <c r="L26">
        <f>'Raw Data'!L26</f>
        <v>0</v>
      </c>
      <c r="M26">
        <f>'Raw Data'!M26</f>
        <v>0</v>
      </c>
    </row>
    <row r="27" spans="1:13" x14ac:dyDescent="0.3">
      <c r="A27">
        <f>'Raw Data'!A27</f>
        <v>0</v>
      </c>
      <c r="B27">
        <f>'Raw Data'!B27</f>
        <v>0</v>
      </c>
      <c r="C27">
        <f>'Raw Data'!C27</f>
        <v>0</v>
      </c>
      <c r="D27">
        <f>'Raw Data'!D27</f>
        <v>0</v>
      </c>
      <c r="E27">
        <f>'Raw Data'!E27</f>
        <v>0</v>
      </c>
      <c r="F27">
        <f>'Raw Data'!F27</f>
        <v>0</v>
      </c>
      <c r="G27">
        <f>'Raw Data'!G27</f>
        <v>0</v>
      </c>
      <c r="H27">
        <f>'Raw Data'!H27</f>
        <v>0</v>
      </c>
      <c r="I27">
        <f>'Raw Data'!I27</f>
        <v>0</v>
      </c>
      <c r="J27">
        <f>'Raw Data'!J27</f>
        <v>0</v>
      </c>
      <c r="K27">
        <f>'Raw Data'!K27</f>
        <v>0</v>
      </c>
      <c r="L27">
        <f>'Raw Data'!L27</f>
        <v>0</v>
      </c>
      <c r="M27">
        <f>'Raw Data'!M27</f>
        <v>0</v>
      </c>
    </row>
    <row r="28" spans="1:13" x14ac:dyDescent="0.3">
      <c r="A28">
        <f>'Raw Data'!A28</f>
        <v>0</v>
      </c>
      <c r="B28">
        <f>'Raw Data'!B28</f>
        <v>0</v>
      </c>
      <c r="C28">
        <f>'Raw Data'!C28</f>
        <v>0</v>
      </c>
      <c r="D28">
        <f>'Raw Data'!D28</f>
        <v>0</v>
      </c>
      <c r="E28">
        <f>'Raw Data'!E28</f>
        <v>0</v>
      </c>
      <c r="F28">
        <f>'Raw Data'!F28</f>
        <v>0</v>
      </c>
      <c r="G28">
        <f>'Raw Data'!G28</f>
        <v>0</v>
      </c>
      <c r="H28">
        <f>'Raw Data'!H28</f>
        <v>0</v>
      </c>
      <c r="I28">
        <f>'Raw Data'!I28</f>
        <v>0</v>
      </c>
      <c r="J28">
        <f>'Raw Data'!J28</f>
        <v>0</v>
      </c>
      <c r="K28">
        <f>'Raw Data'!K28</f>
        <v>0</v>
      </c>
      <c r="L28">
        <f>'Raw Data'!L28</f>
        <v>0</v>
      </c>
      <c r="M28">
        <f>'Raw Data'!M28</f>
        <v>0</v>
      </c>
    </row>
    <row r="29" spans="1:13" x14ac:dyDescent="0.3">
      <c r="A29">
        <f>'Raw Data'!A29</f>
        <v>0</v>
      </c>
      <c r="B29">
        <f>'Raw Data'!B29</f>
        <v>0</v>
      </c>
      <c r="C29">
        <f>'Raw Data'!C29</f>
        <v>0</v>
      </c>
      <c r="D29">
        <f>'Raw Data'!D29</f>
        <v>0</v>
      </c>
      <c r="E29">
        <f>'Raw Data'!E29</f>
        <v>0</v>
      </c>
      <c r="F29">
        <f>'Raw Data'!F29</f>
        <v>0</v>
      </c>
      <c r="G29">
        <f>'Raw Data'!G29</f>
        <v>0</v>
      </c>
      <c r="H29">
        <f>'Raw Data'!H29</f>
        <v>0</v>
      </c>
      <c r="I29">
        <f>'Raw Data'!I29</f>
        <v>0</v>
      </c>
      <c r="J29">
        <f>'Raw Data'!J29</f>
        <v>0</v>
      </c>
      <c r="K29">
        <f>'Raw Data'!K29</f>
        <v>0</v>
      </c>
      <c r="L29">
        <f>'Raw Data'!L29</f>
        <v>0</v>
      </c>
      <c r="M29">
        <f>'Raw Data'!M29</f>
        <v>0</v>
      </c>
    </row>
    <row r="30" spans="1:13" x14ac:dyDescent="0.3">
      <c r="A30">
        <f>'Raw Data'!A30</f>
        <v>0</v>
      </c>
      <c r="B30">
        <f>'Raw Data'!B30</f>
        <v>0</v>
      </c>
      <c r="C30">
        <f>'Raw Data'!C30</f>
        <v>0</v>
      </c>
      <c r="D30">
        <f>'Raw Data'!D30</f>
        <v>0</v>
      </c>
      <c r="E30">
        <f>'Raw Data'!E30</f>
        <v>0</v>
      </c>
      <c r="F30">
        <f>'Raw Data'!F30</f>
        <v>0</v>
      </c>
      <c r="G30">
        <f>'Raw Data'!G30</f>
        <v>0</v>
      </c>
      <c r="H30">
        <f>'Raw Data'!H30</f>
        <v>0</v>
      </c>
      <c r="I30">
        <f>'Raw Data'!I30</f>
        <v>0</v>
      </c>
      <c r="J30">
        <f>'Raw Data'!J30</f>
        <v>0</v>
      </c>
      <c r="K30">
        <f>'Raw Data'!K30</f>
        <v>0</v>
      </c>
      <c r="L30">
        <f>'Raw Data'!L30</f>
        <v>0</v>
      </c>
      <c r="M30">
        <f>'Raw Data'!M30</f>
        <v>0</v>
      </c>
    </row>
    <row r="31" spans="1:13" x14ac:dyDescent="0.3">
      <c r="A31">
        <f>'Raw Data'!A31</f>
        <v>0</v>
      </c>
      <c r="B31">
        <f>'Raw Data'!B31</f>
        <v>0</v>
      </c>
      <c r="C31">
        <f>'Raw Data'!C31</f>
        <v>0</v>
      </c>
      <c r="D31">
        <f>'Raw Data'!D31</f>
        <v>0</v>
      </c>
      <c r="E31">
        <f>'Raw Data'!E31</f>
        <v>0</v>
      </c>
      <c r="F31">
        <f>'Raw Data'!F31</f>
        <v>0</v>
      </c>
      <c r="G31">
        <f>'Raw Data'!G31</f>
        <v>0</v>
      </c>
      <c r="H31">
        <f>'Raw Data'!H31</f>
        <v>0</v>
      </c>
      <c r="I31">
        <f>'Raw Data'!I31</f>
        <v>0</v>
      </c>
      <c r="J31">
        <f>'Raw Data'!J31</f>
        <v>0</v>
      </c>
      <c r="K31">
        <f>'Raw Data'!K31</f>
        <v>0</v>
      </c>
      <c r="L31">
        <f>'Raw Data'!L31</f>
        <v>0</v>
      </c>
      <c r="M31">
        <f>'Raw Data'!M31</f>
        <v>0</v>
      </c>
    </row>
    <row r="32" spans="1:13" x14ac:dyDescent="0.3">
      <c r="A32">
        <f>'Raw Data'!A32</f>
        <v>0</v>
      </c>
      <c r="B32">
        <f>'Raw Data'!B32</f>
        <v>0</v>
      </c>
      <c r="C32">
        <f>'Raw Data'!C32</f>
        <v>0</v>
      </c>
      <c r="D32">
        <f>'Raw Data'!D32</f>
        <v>0</v>
      </c>
      <c r="E32">
        <f>'Raw Data'!E32</f>
        <v>0</v>
      </c>
      <c r="F32">
        <f>'Raw Data'!F32</f>
        <v>0</v>
      </c>
      <c r="G32">
        <f>'Raw Data'!G32</f>
        <v>0</v>
      </c>
      <c r="H32">
        <f>'Raw Data'!H32</f>
        <v>0</v>
      </c>
      <c r="I32">
        <f>'Raw Data'!I32</f>
        <v>0</v>
      </c>
      <c r="J32">
        <f>'Raw Data'!J32</f>
        <v>0</v>
      </c>
      <c r="K32">
        <f>'Raw Data'!K32</f>
        <v>0</v>
      </c>
      <c r="L32">
        <f>'Raw Data'!L32</f>
        <v>0</v>
      </c>
      <c r="M32">
        <f>'Raw Data'!M32</f>
        <v>0</v>
      </c>
    </row>
    <row r="33" spans="1:13" x14ac:dyDescent="0.3">
      <c r="A33">
        <f>'Raw Data'!A33</f>
        <v>0</v>
      </c>
      <c r="B33">
        <f>'Raw Data'!B33</f>
        <v>0</v>
      </c>
      <c r="C33">
        <f>'Raw Data'!C33</f>
        <v>0</v>
      </c>
      <c r="D33">
        <f>'Raw Data'!D33</f>
        <v>0</v>
      </c>
      <c r="E33">
        <f>'Raw Data'!E33</f>
        <v>0</v>
      </c>
      <c r="F33">
        <f>'Raw Data'!F33</f>
        <v>0</v>
      </c>
      <c r="G33">
        <f>'Raw Data'!G33</f>
        <v>0</v>
      </c>
      <c r="H33">
        <f>'Raw Data'!H33</f>
        <v>0</v>
      </c>
      <c r="I33">
        <f>'Raw Data'!I33</f>
        <v>0</v>
      </c>
      <c r="J33">
        <f>'Raw Data'!J33</f>
        <v>0</v>
      </c>
      <c r="K33">
        <f>'Raw Data'!K33</f>
        <v>0</v>
      </c>
      <c r="L33">
        <f>'Raw Data'!L33</f>
        <v>0</v>
      </c>
      <c r="M33">
        <f>'Raw Data'!M33</f>
        <v>0</v>
      </c>
    </row>
    <row r="34" spans="1:13" x14ac:dyDescent="0.3">
      <c r="A34">
        <f>'Raw Data'!A34</f>
        <v>0</v>
      </c>
      <c r="B34">
        <f>'Raw Data'!B34</f>
        <v>0</v>
      </c>
      <c r="C34">
        <f>'Raw Data'!C34</f>
        <v>0</v>
      </c>
      <c r="D34">
        <f>'Raw Data'!D34</f>
        <v>0</v>
      </c>
      <c r="E34">
        <f>'Raw Data'!E34</f>
        <v>0</v>
      </c>
      <c r="F34">
        <f>'Raw Data'!F34</f>
        <v>0</v>
      </c>
      <c r="G34">
        <f>'Raw Data'!G34</f>
        <v>0</v>
      </c>
      <c r="H34">
        <f>'Raw Data'!H34</f>
        <v>0</v>
      </c>
      <c r="I34">
        <f>'Raw Data'!I34</f>
        <v>0</v>
      </c>
      <c r="J34">
        <f>'Raw Data'!J34</f>
        <v>0</v>
      </c>
      <c r="K34">
        <f>'Raw Data'!K34</f>
        <v>0</v>
      </c>
      <c r="L34">
        <f>'Raw Data'!L34</f>
        <v>0</v>
      </c>
      <c r="M34">
        <f>'Raw Data'!M34</f>
        <v>0</v>
      </c>
    </row>
    <row r="35" spans="1:13" x14ac:dyDescent="0.3">
      <c r="A35">
        <f>'Raw Data'!A35</f>
        <v>0</v>
      </c>
      <c r="B35">
        <f>'Raw Data'!B35</f>
        <v>0</v>
      </c>
      <c r="C35">
        <f>'Raw Data'!C35</f>
        <v>0</v>
      </c>
      <c r="D35">
        <f>'Raw Data'!D35</f>
        <v>0</v>
      </c>
      <c r="E35">
        <f>'Raw Data'!E35</f>
        <v>0</v>
      </c>
      <c r="F35">
        <f>'Raw Data'!F35</f>
        <v>0</v>
      </c>
      <c r="G35">
        <f>'Raw Data'!G35</f>
        <v>0</v>
      </c>
      <c r="H35">
        <f>'Raw Data'!H35</f>
        <v>0</v>
      </c>
      <c r="I35">
        <f>'Raw Data'!I35</f>
        <v>0</v>
      </c>
      <c r="J35">
        <f>'Raw Data'!J35</f>
        <v>0</v>
      </c>
      <c r="K35">
        <f>'Raw Data'!K35</f>
        <v>0</v>
      </c>
      <c r="L35">
        <f>'Raw Data'!L35</f>
        <v>0</v>
      </c>
      <c r="M35">
        <f>'Raw Data'!M35</f>
        <v>0</v>
      </c>
    </row>
    <row r="36" spans="1:13" x14ac:dyDescent="0.3">
      <c r="A36">
        <f>'Raw Data'!A36</f>
        <v>0</v>
      </c>
      <c r="B36">
        <f>'Raw Data'!B36</f>
        <v>0</v>
      </c>
      <c r="C36">
        <f>'Raw Data'!C36</f>
        <v>0</v>
      </c>
      <c r="D36">
        <f>'Raw Data'!D36</f>
        <v>0</v>
      </c>
      <c r="E36">
        <f>'Raw Data'!E36</f>
        <v>0</v>
      </c>
      <c r="F36">
        <f>'Raw Data'!F36</f>
        <v>0</v>
      </c>
      <c r="G36">
        <f>'Raw Data'!G36</f>
        <v>0</v>
      </c>
      <c r="H36">
        <f>'Raw Data'!H36</f>
        <v>0</v>
      </c>
      <c r="I36">
        <f>'Raw Data'!I36</f>
        <v>0</v>
      </c>
      <c r="J36">
        <f>'Raw Data'!J36</f>
        <v>0</v>
      </c>
      <c r="K36">
        <f>'Raw Data'!K36</f>
        <v>0</v>
      </c>
      <c r="L36">
        <f>'Raw Data'!L36</f>
        <v>0</v>
      </c>
      <c r="M36">
        <f>'Raw Data'!M36</f>
        <v>0</v>
      </c>
    </row>
    <row r="37" spans="1:13" x14ac:dyDescent="0.3">
      <c r="A37">
        <f>'Raw Data'!A37</f>
        <v>0</v>
      </c>
      <c r="B37">
        <f>'Raw Data'!B37</f>
        <v>0</v>
      </c>
      <c r="C37">
        <f>'Raw Data'!C37</f>
        <v>0</v>
      </c>
      <c r="D37">
        <f>'Raw Data'!D37</f>
        <v>0</v>
      </c>
      <c r="E37">
        <f>'Raw Data'!E37</f>
        <v>0</v>
      </c>
      <c r="F37">
        <f>'Raw Data'!F37</f>
        <v>0</v>
      </c>
      <c r="G37">
        <f>'Raw Data'!G37</f>
        <v>0</v>
      </c>
      <c r="H37">
        <f>'Raw Data'!H37</f>
        <v>0</v>
      </c>
      <c r="I37">
        <f>'Raw Data'!I37</f>
        <v>0</v>
      </c>
      <c r="J37">
        <f>'Raw Data'!J37</f>
        <v>0</v>
      </c>
      <c r="K37">
        <f>'Raw Data'!K37</f>
        <v>0</v>
      </c>
      <c r="L37">
        <f>'Raw Data'!L37</f>
        <v>0</v>
      </c>
      <c r="M37">
        <f>'Raw Data'!M37</f>
        <v>0</v>
      </c>
    </row>
    <row r="38" spans="1:13" x14ac:dyDescent="0.3">
      <c r="A38">
        <f>'Raw Data'!A38</f>
        <v>0</v>
      </c>
      <c r="B38">
        <f>'Raw Data'!B38</f>
        <v>0</v>
      </c>
      <c r="C38">
        <f>'Raw Data'!C38</f>
        <v>0</v>
      </c>
      <c r="D38">
        <f>'Raw Data'!D38</f>
        <v>0</v>
      </c>
      <c r="E38">
        <f>'Raw Data'!E38</f>
        <v>0</v>
      </c>
      <c r="F38">
        <f>'Raw Data'!F38</f>
        <v>0</v>
      </c>
      <c r="G38">
        <f>'Raw Data'!G38</f>
        <v>0</v>
      </c>
      <c r="H38">
        <f>'Raw Data'!H38</f>
        <v>0</v>
      </c>
      <c r="I38">
        <f>'Raw Data'!I38</f>
        <v>0</v>
      </c>
      <c r="J38">
        <f>'Raw Data'!J38</f>
        <v>0</v>
      </c>
      <c r="K38">
        <f>'Raw Data'!K38</f>
        <v>0</v>
      </c>
      <c r="L38">
        <f>'Raw Data'!L38</f>
        <v>0</v>
      </c>
      <c r="M38">
        <f>'Raw Data'!M38</f>
        <v>0</v>
      </c>
    </row>
    <row r="39" spans="1:13" x14ac:dyDescent="0.3">
      <c r="A39">
        <f>'Raw Data'!A39</f>
        <v>0</v>
      </c>
      <c r="B39">
        <f>'Raw Data'!B39</f>
        <v>0</v>
      </c>
      <c r="C39">
        <f>'Raw Data'!C39</f>
        <v>0</v>
      </c>
      <c r="D39">
        <f>'Raw Data'!D39</f>
        <v>0</v>
      </c>
      <c r="E39">
        <f>'Raw Data'!E39</f>
        <v>0</v>
      </c>
      <c r="F39">
        <f>'Raw Data'!F39</f>
        <v>0</v>
      </c>
      <c r="G39">
        <f>'Raw Data'!G39</f>
        <v>0</v>
      </c>
      <c r="H39">
        <f>'Raw Data'!H39</f>
        <v>0</v>
      </c>
      <c r="I39">
        <f>'Raw Data'!I39</f>
        <v>0</v>
      </c>
      <c r="J39">
        <f>'Raw Data'!J39</f>
        <v>0</v>
      </c>
      <c r="K39">
        <f>'Raw Data'!K39</f>
        <v>0</v>
      </c>
      <c r="L39">
        <f>'Raw Data'!L39</f>
        <v>0</v>
      </c>
      <c r="M39">
        <f>'Raw Data'!M39</f>
        <v>0</v>
      </c>
    </row>
    <row r="40" spans="1:13" x14ac:dyDescent="0.3">
      <c r="A40">
        <f>'Raw Data'!A40</f>
        <v>0</v>
      </c>
      <c r="B40">
        <f>'Raw Data'!B40</f>
        <v>0</v>
      </c>
      <c r="C40">
        <f>'Raw Data'!C40</f>
        <v>0</v>
      </c>
      <c r="D40">
        <f>'Raw Data'!D40</f>
        <v>0</v>
      </c>
      <c r="E40">
        <f>'Raw Data'!E40</f>
        <v>0</v>
      </c>
      <c r="F40">
        <f>'Raw Data'!F40</f>
        <v>0</v>
      </c>
      <c r="G40">
        <f>'Raw Data'!G40</f>
        <v>0</v>
      </c>
      <c r="H40">
        <f>'Raw Data'!H40</f>
        <v>0</v>
      </c>
      <c r="I40">
        <f>'Raw Data'!I40</f>
        <v>0</v>
      </c>
      <c r="J40">
        <f>'Raw Data'!J40</f>
        <v>0</v>
      </c>
      <c r="K40">
        <f>'Raw Data'!K40</f>
        <v>0</v>
      </c>
      <c r="L40">
        <f>'Raw Data'!L40</f>
        <v>0</v>
      </c>
      <c r="M40">
        <f>'Raw Data'!M40</f>
        <v>0</v>
      </c>
    </row>
    <row r="41" spans="1:13" x14ac:dyDescent="0.3">
      <c r="A41">
        <f>'Raw Data'!A41</f>
        <v>0</v>
      </c>
      <c r="B41">
        <f>'Raw Data'!B41</f>
        <v>0</v>
      </c>
      <c r="C41">
        <f>'Raw Data'!C41</f>
        <v>0</v>
      </c>
      <c r="D41">
        <f>'Raw Data'!D41</f>
        <v>0</v>
      </c>
      <c r="E41">
        <f>'Raw Data'!E41</f>
        <v>0</v>
      </c>
      <c r="F41">
        <f>'Raw Data'!F41</f>
        <v>0</v>
      </c>
      <c r="G41">
        <f>'Raw Data'!G41</f>
        <v>0</v>
      </c>
      <c r="H41">
        <f>'Raw Data'!H41</f>
        <v>0</v>
      </c>
      <c r="I41">
        <f>'Raw Data'!I41</f>
        <v>0</v>
      </c>
      <c r="J41">
        <f>'Raw Data'!J41</f>
        <v>0</v>
      </c>
      <c r="K41">
        <f>'Raw Data'!K41</f>
        <v>0</v>
      </c>
      <c r="L41">
        <f>'Raw Data'!L41</f>
        <v>0</v>
      </c>
      <c r="M41">
        <f>'Raw Data'!M41</f>
        <v>0</v>
      </c>
    </row>
    <row r="42" spans="1:13" x14ac:dyDescent="0.3">
      <c r="A42">
        <f>'Raw Data'!A42</f>
        <v>0</v>
      </c>
      <c r="B42">
        <f>'Raw Data'!B42</f>
        <v>0</v>
      </c>
      <c r="C42">
        <f>'Raw Data'!C42</f>
        <v>0</v>
      </c>
      <c r="D42">
        <f>'Raw Data'!D42</f>
        <v>0</v>
      </c>
      <c r="E42">
        <f>'Raw Data'!E42</f>
        <v>0</v>
      </c>
      <c r="F42">
        <f>'Raw Data'!F42</f>
        <v>0</v>
      </c>
      <c r="G42">
        <f>'Raw Data'!G42</f>
        <v>0</v>
      </c>
      <c r="H42">
        <f>'Raw Data'!H42</f>
        <v>0</v>
      </c>
      <c r="I42">
        <f>'Raw Data'!I42</f>
        <v>0</v>
      </c>
      <c r="J42">
        <f>'Raw Data'!J42</f>
        <v>0</v>
      </c>
      <c r="K42">
        <f>'Raw Data'!K42</f>
        <v>0</v>
      </c>
      <c r="L42">
        <f>'Raw Data'!L42</f>
        <v>0</v>
      </c>
      <c r="M42">
        <f>'Raw Data'!M42</f>
        <v>0</v>
      </c>
    </row>
    <row r="43" spans="1:13" x14ac:dyDescent="0.3">
      <c r="A43">
        <f>'Raw Data'!A43</f>
        <v>0</v>
      </c>
      <c r="B43">
        <f>'Raw Data'!B43</f>
        <v>0</v>
      </c>
      <c r="C43">
        <f>'Raw Data'!C43</f>
        <v>0</v>
      </c>
      <c r="D43">
        <f>'Raw Data'!D43</f>
        <v>0</v>
      </c>
      <c r="E43">
        <f>'Raw Data'!E43</f>
        <v>0</v>
      </c>
      <c r="F43">
        <f>'Raw Data'!F43</f>
        <v>0</v>
      </c>
      <c r="G43">
        <f>'Raw Data'!G43</f>
        <v>0</v>
      </c>
      <c r="H43">
        <f>'Raw Data'!H43</f>
        <v>0</v>
      </c>
      <c r="I43">
        <f>'Raw Data'!I43</f>
        <v>0</v>
      </c>
      <c r="J43">
        <f>'Raw Data'!J43</f>
        <v>0</v>
      </c>
      <c r="K43">
        <f>'Raw Data'!K43</f>
        <v>0</v>
      </c>
      <c r="L43">
        <f>'Raw Data'!L43</f>
        <v>0</v>
      </c>
      <c r="M43">
        <f>'Raw Data'!M43</f>
        <v>0</v>
      </c>
    </row>
    <row r="44" spans="1:13" x14ac:dyDescent="0.3">
      <c r="A44">
        <f>'Raw Data'!A44</f>
        <v>0</v>
      </c>
      <c r="B44">
        <f>'Raw Data'!B44</f>
        <v>0</v>
      </c>
      <c r="C44">
        <f>'Raw Data'!C44</f>
        <v>0</v>
      </c>
      <c r="D44">
        <f>'Raw Data'!D44</f>
        <v>0</v>
      </c>
      <c r="E44">
        <f>'Raw Data'!E44</f>
        <v>0</v>
      </c>
      <c r="F44">
        <f>'Raw Data'!F44</f>
        <v>0</v>
      </c>
      <c r="G44">
        <f>'Raw Data'!G44</f>
        <v>0</v>
      </c>
      <c r="H44">
        <f>'Raw Data'!H44</f>
        <v>0</v>
      </c>
      <c r="I44">
        <f>'Raw Data'!I44</f>
        <v>0</v>
      </c>
      <c r="J44">
        <f>'Raw Data'!J44</f>
        <v>0</v>
      </c>
      <c r="K44">
        <f>'Raw Data'!K44</f>
        <v>0</v>
      </c>
      <c r="L44">
        <f>'Raw Data'!L44</f>
        <v>0</v>
      </c>
      <c r="M44">
        <f>'Raw Data'!M44</f>
        <v>0</v>
      </c>
    </row>
    <row r="45" spans="1:13" x14ac:dyDescent="0.3">
      <c r="A45">
        <f>'Raw Data'!A45</f>
        <v>0</v>
      </c>
      <c r="B45">
        <f>'Raw Data'!B45</f>
        <v>0</v>
      </c>
      <c r="C45">
        <f>'Raw Data'!C45</f>
        <v>0</v>
      </c>
      <c r="D45">
        <f>'Raw Data'!D45</f>
        <v>0</v>
      </c>
      <c r="E45">
        <f>'Raw Data'!E45</f>
        <v>0</v>
      </c>
      <c r="F45">
        <f>'Raw Data'!F45</f>
        <v>0</v>
      </c>
      <c r="G45">
        <f>'Raw Data'!G45</f>
        <v>0</v>
      </c>
      <c r="H45">
        <f>'Raw Data'!H45</f>
        <v>0</v>
      </c>
      <c r="I45">
        <f>'Raw Data'!I45</f>
        <v>0</v>
      </c>
      <c r="J45">
        <f>'Raw Data'!J45</f>
        <v>0</v>
      </c>
      <c r="K45">
        <f>'Raw Data'!K45</f>
        <v>0</v>
      </c>
      <c r="L45">
        <f>'Raw Data'!L45</f>
        <v>0</v>
      </c>
      <c r="M45">
        <f>'Raw Data'!M45</f>
        <v>0</v>
      </c>
    </row>
    <row r="46" spans="1:13" x14ac:dyDescent="0.3">
      <c r="A46">
        <f>'Raw Data'!A46</f>
        <v>0</v>
      </c>
      <c r="B46">
        <f>'Raw Data'!B46</f>
        <v>0</v>
      </c>
      <c r="C46">
        <f>'Raw Data'!C46</f>
        <v>0</v>
      </c>
      <c r="D46">
        <f>'Raw Data'!D46</f>
        <v>0</v>
      </c>
      <c r="E46">
        <f>'Raw Data'!E46</f>
        <v>0</v>
      </c>
      <c r="F46">
        <f>'Raw Data'!F46</f>
        <v>0</v>
      </c>
      <c r="G46">
        <f>'Raw Data'!G46</f>
        <v>0</v>
      </c>
      <c r="H46">
        <f>'Raw Data'!H46</f>
        <v>0</v>
      </c>
      <c r="I46">
        <f>'Raw Data'!I46</f>
        <v>0</v>
      </c>
      <c r="J46">
        <f>'Raw Data'!J46</f>
        <v>0</v>
      </c>
      <c r="K46">
        <f>'Raw Data'!K46</f>
        <v>0</v>
      </c>
      <c r="L46">
        <f>'Raw Data'!L46</f>
        <v>0</v>
      </c>
      <c r="M46">
        <f>'Raw Data'!M46</f>
        <v>0</v>
      </c>
    </row>
    <row r="47" spans="1:13" x14ac:dyDescent="0.3">
      <c r="A47">
        <f>'Raw Data'!A47</f>
        <v>0</v>
      </c>
      <c r="B47">
        <f>'Raw Data'!B47</f>
        <v>0</v>
      </c>
      <c r="C47">
        <f>'Raw Data'!C47</f>
        <v>0</v>
      </c>
      <c r="D47">
        <f>'Raw Data'!D47</f>
        <v>0</v>
      </c>
      <c r="E47">
        <f>'Raw Data'!E47</f>
        <v>0</v>
      </c>
      <c r="F47">
        <f>'Raw Data'!F47</f>
        <v>0</v>
      </c>
      <c r="G47">
        <f>'Raw Data'!G47</f>
        <v>0</v>
      </c>
      <c r="H47">
        <f>'Raw Data'!H47</f>
        <v>0</v>
      </c>
      <c r="I47">
        <f>'Raw Data'!I47</f>
        <v>0</v>
      </c>
      <c r="J47">
        <f>'Raw Data'!J47</f>
        <v>0</v>
      </c>
      <c r="K47">
        <f>'Raw Data'!K47</f>
        <v>0</v>
      </c>
      <c r="L47">
        <f>'Raw Data'!L47</f>
        <v>0</v>
      </c>
      <c r="M47">
        <f>'Raw Data'!M47</f>
        <v>0</v>
      </c>
    </row>
    <row r="48" spans="1:13" x14ac:dyDescent="0.3">
      <c r="A48">
        <f>'Raw Data'!A48</f>
        <v>0</v>
      </c>
      <c r="B48">
        <f>'Raw Data'!B48</f>
        <v>0</v>
      </c>
      <c r="C48">
        <f>'Raw Data'!C48</f>
        <v>0</v>
      </c>
      <c r="D48">
        <f>'Raw Data'!D48</f>
        <v>0</v>
      </c>
      <c r="E48">
        <f>'Raw Data'!E48</f>
        <v>0</v>
      </c>
      <c r="F48">
        <f>'Raw Data'!F48</f>
        <v>0</v>
      </c>
      <c r="G48">
        <f>'Raw Data'!G48</f>
        <v>0</v>
      </c>
      <c r="H48">
        <f>'Raw Data'!H48</f>
        <v>0</v>
      </c>
      <c r="I48">
        <f>'Raw Data'!I48</f>
        <v>0</v>
      </c>
      <c r="J48">
        <f>'Raw Data'!J48</f>
        <v>0</v>
      </c>
      <c r="K48">
        <f>'Raw Data'!K48</f>
        <v>0</v>
      </c>
      <c r="L48">
        <f>'Raw Data'!L48</f>
        <v>0</v>
      </c>
      <c r="M48">
        <f>'Raw Data'!M48</f>
        <v>0</v>
      </c>
    </row>
    <row r="49" spans="1:13" x14ac:dyDescent="0.3">
      <c r="A49">
        <f>'Raw Data'!A49</f>
        <v>0</v>
      </c>
      <c r="B49">
        <f>'Raw Data'!B49</f>
        <v>0</v>
      </c>
      <c r="C49">
        <f>'Raw Data'!C49</f>
        <v>0</v>
      </c>
      <c r="D49">
        <f>'Raw Data'!D49</f>
        <v>0</v>
      </c>
      <c r="E49">
        <f>'Raw Data'!E49</f>
        <v>0</v>
      </c>
      <c r="F49">
        <f>'Raw Data'!F49</f>
        <v>0</v>
      </c>
      <c r="G49">
        <f>'Raw Data'!G49</f>
        <v>0</v>
      </c>
      <c r="H49">
        <f>'Raw Data'!H49</f>
        <v>0</v>
      </c>
      <c r="I49">
        <f>'Raw Data'!I49</f>
        <v>0</v>
      </c>
      <c r="J49">
        <f>'Raw Data'!J49</f>
        <v>0</v>
      </c>
      <c r="K49">
        <f>'Raw Data'!K49</f>
        <v>0</v>
      </c>
      <c r="L49">
        <f>'Raw Data'!L49</f>
        <v>0</v>
      </c>
      <c r="M49">
        <f>'Raw Data'!M49</f>
        <v>0</v>
      </c>
    </row>
    <row r="50" spans="1:13" x14ac:dyDescent="0.3">
      <c r="A50">
        <f>'Raw Data'!A50</f>
        <v>0</v>
      </c>
      <c r="B50">
        <f>'Raw Data'!B50</f>
        <v>0</v>
      </c>
      <c r="C50">
        <f>'Raw Data'!C50</f>
        <v>0</v>
      </c>
      <c r="D50">
        <f>'Raw Data'!D50</f>
        <v>0</v>
      </c>
      <c r="E50">
        <f>'Raw Data'!E50</f>
        <v>0</v>
      </c>
      <c r="F50">
        <f>'Raw Data'!F50</f>
        <v>0</v>
      </c>
      <c r="G50">
        <f>'Raw Data'!G50</f>
        <v>0</v>
      </c>
      <c r="H50">
        <f>'Raw Data'!H50</f>
        <v>0</v>
      </c>
      <c r="I50">
        <f>'Raw Data'!I50</f>
        <v>0</v>
      </c>
      <c r="J50">
        <f>'Raw Data'!J50</f>
        <v>0</v>
      </c>
      <c r="K50">
        <f>'Raw Data'!K50</f>
        <v>0</v>
      </c>
      <c r="L50">
        <f>'Raw Data'!L50</f>
        <v>0</v>
      </c>
      <c r="M50">
        <f>'Raw Data'!M50</f>
        <v>0</v>
      </c>
    </row>
    <row r="51" spans="1:13" x14ac:dyDescent="0.3">
      <c r="A51">
        <f>'Raw Data'!A51</f>
        <v>0</v>
      </c>
      <c r="B51">
        <f>'Raw Data'!B51</f>
        <v>0</v>
      </c>
      <c r="C51">
        <f>'Raw Data'!C51</f>
        <v>0</v>
      </c>
      <c r="D51">
        <f>'Raw Data'!D51</f>
        <v>0</v>
      </c>
      <c r="E51">
        <f>'Raw Data'!E51</f>
        <v>0</v>
      </c>
      <c r="F51">
        <f>'Raw Data'!F51</f>
        <v>0</v>
      </c>
      <c r="G51">
        <f>'Raw Data'!G51</f>
        <v>0</v>
      </c>
      <c r="H51">
        <f>'Raw Data'!H51</f>
        <v>0</v>
      </c>
      <c r="I51">
        <f>'Raw Data'!I51</f>
        <v>0</v>
      </c>
      <c r="J51">
        <f>'Raw Data'!J51</f>
        <v>0</v>
      </c>
      <c r="K51">
        <f>'Raw Data'!K51</f>
        <v>0</v>
      </c>
      <c r="L51">
        <f>'Raw Data'!L51</f>
        <v>0</v>
      </c>
      <c r="M51">
        <f>'Raw Data'!M51</f>
        <v>0</v>
      </c>
    </row>
    <row r="52" spans="1:13" x14ac:dyDescent="0.3">
      <c r="A52">
        <f>'Raw Data'!A52</f>
        <v>0</v>
      </c>
      <c r="B52">
        <f>'Raw Data'!B52</f>
        <v>0</v>
      </c>
      <c r="C52">
        <f>'Raw Data'!C52</f>
        <v>0</v>
      </c>
      <c r="D52">
        <f>'Raw Data'!D52</f>
        <v>0</v>
      </c>
      <c r="E52">
        <f>'Raw Data'!E52</f>
        <v>0</v>
      </c>
      <c r="F52">
        <f>'Raw Data'!F52</f>
        <v>0</v>
      </c>
      <c r="G52">
        <f>'Raw Data'!G52</f>
        <v>0</v>
      </c>
      <c r="H52">
        <f>'Raw Data'!H52</f>
        <v>0</v>
      </c>
      <c r="I52">
        <f>'Raw Data'!I52</f>
        <v>0</v>
      </c>
      <c r="J52">
        <f>'Raw Data'!J52</f>
        <v>0</v>
      </c>
      <c r="K52">
        <f>'Raw Data'!K52</f>
        <v>0</v>
      </c>
      <c r="L52">
        <f>'Raw Data'!L52</f>
        <v>0</v>
      </c>
      <c r="M52">
        <f>'Raw Data'!M52</f>
        <v>0</v>
      </c>
    </row>
    <row r="53" spans="1:13" x14ac:dyDescent="0.3">
      <c r="A53">
        <f>'Raw Data'!A53</f>
        <v>0</v>
      </c>
      <c r="B53">
        <f>'Raw Data'!B53</f>
        <v>0</v>
      </c>
      <c r="C53">
        <f>'Raw Data'!C53</f>
        <v>0</v>
      </c>
      <c r="D53">
        <f>'Raw Data'!D53</f>
        <v>0</v>
      </c>
      <c r="E53">
        <f>'Raw Data'!E53</f>
        <v>0</v>
      </c>
      <c r="F53">
        <f>'Raw Data'!F53</f>
        <v>0</v>
      </c>
      <c r="G53">
        <f>'Raw Data'!G53</f>
        <v>0</v>
      </c>
      <c r="H53">
        <f>'Raw Data'!H53</f>
        <v>0</v>
      </c>
      <c r="I53">
        <f>'Raw Data'!I53</f>
        <v>0</v>
      </c>
      <c r="J53">
        <f>'Raw Data'!J53</f>
        <v>0</v>
      </c>
      <c r="K53">
        <f>'Raw Data'!K53</f>
        <v>0</v>
      </c>
      <c r="L53">
        <f>'Raw Data'!L53</f>
        <v>0</v>
      </c>
      <c r="M53">
        <f>'Raw Data'!M53</f>
        <v>0</v>
      </c>
    </row>
    <row r="54" spans="1:13" x14ac:dyDescent="0.3">
      <c r="A54">
        <f>'Raw Data'!A54</f>
        <v>0</v>
      </c>
      <c r="B54">
        <f>'Raw Data'!B54</f>
        <v>0</v>
      </c>
      <c r="C54">
        <f>'Raw Data'!C54</f>
        <v>0</v>
      </c>
      <c r="D54">
        <f>'Raw Data'!D54</f>
        <v>0</v>
      </c>
      <c r="E54">
        <f>'Raw Data'!E54</f>
        <v>0</v>
      </c>
      <c r="F54">
        <f>'Raw Data'!F54</f>
        <v>0</v>
      </c>
      <c r="G54">
        <f>'Raw Data'!G54</f>
        <v>0</v>
      </c>
      <c r="H54">
        <f>'Raw Data'!H54</f>
        <v>0</v>
      </c>
      <c r="I54">
        <f>'Raw Data'!I54</f>
        <v>0</v>
      </c>
      <c r="J54">
        <f>'Raw Data'!J54</f>
        <v>0</v>
      </c>
      <c r="K54">
        <f>'Raw Data'!K54</f>
        <v>0</v>
      </c>
      <c r="L54">
        <f>'Raw Data'!L54</f>
        <v>0</v>
      </c>
      <c r="M54">
        <f>'Raw Data'!M54</f>
        <v>0</v>
      </c>
    </row>
    <row r="55" spans="1:13" x14ac:dyDescent="0.3">
      <c r="A55">
        <f>'Raw Data'!A55</f>
        <v>0</v>
      </c>
      <c r="B55">
        <f>'Raw Data'!B55</f>
        <v>0</v>
      </c>
      <c r="C55">
        <f>'Raw Data'!C55</f>
        <v>0</v>
      </c>
      <c r="D55">
        <f>'Raw Data'!D55</f>
        <v>0</v>
      </c>
      <c r="E55">
        <f>'Raw Data'!E55</f>
        <v>0</v>
      </c>
      <c r="F55">
        <f>'Raw Data'!F55</f>
        <v>0</v>
      </c>
      <c r="G55">
        <f>'Raw Data'!G55</f>
        <v>0</v>
      </c>
      <c r="H55">
        <f>'Raw Data'!H55</f>
        <v>0</v>
      </c>
      <c r="I55">
        <f>'Raw Data'!I55</f>
        <v>0</v>
      </c>
      <c r="J55">
        <f>'Raw Data'!J55</f>
        <v>0</v>
      </c>
      <c r="K55">
        <f>'Raw Data'!K55</f>
        <v>0</v>
      </c>
      <c r="L55">
        <f>'Raw Data'!L55</f>
        <v>0</v>
      </c>
      <c r="M55">
        <f>'Raw Data'!M55</f>
        <v>0</v>
      </c>
    </row>
    <row r="56" spans="1:13" x14ac:dyDescent="0.3">
      <c r="A56">
        <f>'Raw Data'!A56</f>
        <v>0</v>
      </c>
      <c r="B56">
        <f>'Raw Data'!B56</f>
        <v>0</v>
      </c>
      <c r="C56">
        <f>'Raw Data'!C56</f>
        <v>0</v>
      </c>
      <c r="D56">
        <f>'Raw Data'!D56</f>
        <v>0</v>
      </c>
      <c r="E56">
        <f>'Raw Data'!E56</f>
        <v>0</v>
      </c>
      <c r="F56">
        <f>'Raw Data'!F56</f>
        <v>0</v>
      </c>
      <c r="G56">
        <f>'Raw Data'!G56</f>
        <v>0</v>
      </c>
      <c r="H56">
        <f>'Raw Data'!H56</f>
        <v>0</v>
      </c>
      <c r="I56">
        <f>'Raw Data'!I56</f>
        <v>0</v>
      </c>
      <c r="J56">
        <f>'Raw Data'!J56</f>
        <v>0</v>
      </c>
      <c r="K56">
        <f>'Raw Data'!K56</f>
        <v>0</v>
      </c>
      <c r="L56">
        <f>'Raw Data'!L56</f>
        <v>0</v>
      </c>
      <c r="M56">
        <f>'Raw Data'!M56</f>
        <v>0</v>
      </c>
    </row>
    <row r="57" spans="1:13" x14ac:dyDescent="0.3">
      <c r="A57">
        <f>'Raw Data'!A57</f>
        <v>0</v>
      </c>
      <c r="B57">
        <f>'Raw Data'!B57</f>
        <v>0</v>
      </c>
      <c r="C57">
        <f>'Raw Data'!C57</f>
        <v>0</v>
      </c>
      <c r="D57">
        <f>'Raw Data'!D57</f>
        <v>0</v>
      </c>
      <c r="E57">
        <f>'Raw Data'!E57</f>
        <v>0</v>
      </c>
      <c r="F57">
        <f>'Raw Data'!F57</f>
        <v>0</v>
      </c>
      <c r="G57">
        <f>'Raw Data'!G57</f>
        <v>0</v>
      </c>
      <c r="H57">
        <f>'Raw Data'!H57</f>
        <v>0</v>
      </c>
      <c r="I57">
        <f>'Raw Data'!I57</f>
        <v>0</v>
      </c>
      <c r="J57">
        <f>'Raw Data'!J57</f>
        <v>0</v>
      </c>
      <c r="K57">
        <f>'Raw Data'!K57</f>
        <v>0</v>
      </c>
      <c r="L57">
        <f>'Raw Data'!L57</f>
        <v>0</v>
      </c>
      <c r="M57">
        <f>'Raw Data'!M57</f>
        <v>0</v>
      </c>
    </row>
    <row r="58" spans="1:13" x14ac:dyDescent="0.3">
      <c r="A58">
        <f>'Raw Data'!A58</f>
        <v>0</v>
      </c>
      <c r="B58">
        <f>'Raw Data'!B58</f>
        <v>0</v>
      </c>
      <c r="C58">
        <f>'Raw Data'!C58</f>
        <v>0</v>
      </c>
      <c r="D58">
        <f>'Raw Data'!D58</f>
        <v>0</v>
      </c>
      <c r="E58">
        <f>'Raw Data'!E58</f>
        <v>0</v>
      </c>
      <c r="F58">
        <f>'Raw Data'!F58</f>
        <v>0</v>
      </c>
      <c r="G58">
        <f>'Raw Data'!G58</f>
        <v>0</v>
      </c>
      <c r="H58">
        <f>'Raw Data'!H58</f>
        <v>0</v>
      </c>
      <c r="I58">
        <f>'Raw Data'!I58</f>
        <v>0</v>
      </c>
      <c r="J58">
        <f>'Raw Data'!J58</f>
        <v>0</v>
      </c>
      <c r="K58">
        <f>'Raw Data'!K58</f>
        <v>0</v>
      </c>
      <c r="L58">
        <f>'Raw Data'!L58</f>
        <v>0</v>
      </c>
      <c r="M58">
        <f>'Raw Data'!M58</f>
        <v>0</v>
      </c>
    </row>
    <row r="59" spans="1:13" x14ac:dyDescent="0.3">
      <c r="A59">
        <f>'Raw Data'!A59</f>
        <v>0</v>
      </c>
      <c r="B59">
        <f>'Raw Data'!B59</f>
        <v>0</v>
      </c>
      <c r="C59">
        <f>'Raw Data'!C59</f>
        <v>0</v>
      </c>
      <c r="D59">
        <f>'Raw Data'!D59</f>
        <v>0</v>
      </c>
      <c r="E59">
        <f>'Raw Data'!E59</f>
        <v>0</v>
      </c>
      <c r="F59">
        <f>'Raw Data'!F59</f>
        <v>0</v>
      </c>
      <c r="G59">
        <f>'Raw Data'!G59</f>
        <v>0</v>
      </c>
      <c r="H59">
        <f>'Raw Data'!H59</f>
        <v>0</v>
      </c>
      <c r="I59">
        <f>'Raw Data'!I59</f>
        <v>0</v>
      </c>
      <c r="J59">
        <f>'Raw Data'!J59</f>
        <v>0</v>
      </c>
      <c r="K59">
        <f>'Raw Data'!K59</f>
        <v>0</v>
      </c>
      <c r="L59">
        <f>'Raw Data'!L59</f>
        <v>0</v>
      </c>
      <c r="M59">
        <f>'Raw Data'!M59</f>
        <v>0</v>
      </c>
    </row>
    <row r="60" spans="1:13" x14ac:dyDescent="0.3">
      <c r="A60">
        <f>'Raw Data'!A60</f>
        <v>0</v>
      </c>
      <c r="B60">
        <f>'Raw Data'!B60</f>
        <v>0</v>
      </c>
      <c r="C60">
        <f>'Raw Data'!C60</f>
        <v>0</v>
      </c>
      <c r="D60">
        <f>'Raw Data'!D60</f>
        <v>0</v>
      </c>
      <c r="E60">
        <f>'Raw Data'!E60</f>
        <v>0</v>
      </c>
      <c r="F60">
        <f>'Raw Data'!F60</f>
        <v>0</v>
      </c>
      <c r="G60">
        <f>'Raw Data'!G60</f>
        <v>0</v>
      </c>
      <c r="H60">
        <f>'Raw Data'!H60</f>
        <v>0</v>
      </c>
      <c r="I60">
        <f>'Raw Data'!I60</f>
        <v>0</v>
      </c>
      <c r="J60">
        <f>'Raw Data'!J60</f>
        <v>0</v>
      </c>
      <c r="K60">
        <f>'Raw Data'!K60</f>
        <v>0</v>
      </c>
      <c r="L60">
        <f>'Raw Data'!L60</f>
        <v>0</v>
      </c>
      <c r="M60">
        <f>'Raw Data'!M60</f>
        <v>0</v>
      </c>
    </row>
    <row r="61" spans="1:13" x14ac:dyDescent="0.3">
      <c r="A61">
        <f>'Raw Data'!A61</f>
        <v>0</v>
      </c>
      <c r="B61">
        <f>'Raw Data'!B61</f>
        <v>0</v>
      </c>
      <c r="C61">
        <f>'Raw Data'!C61</f>
        <v>0</v>
      </c>
      <c r="D61">
        <f>'Raw Data'!D61</f>
        <v>0</v>
      </c>
      <c r="E61">
        <f>'Raw Data'!E61</f>
        <v>0</v>
      </c>
      <c r="F61">
        <f>'Raw Data'!F61</f>
        <v>0</v>
      </c>
      <c r="G61">
        <f>'Raw Data'!G61</f>
        <v>0</v>
      </c>
      <c r="H61">
        <f>'Raw Data'!H61</f>
        <v>0</v>
      </c>
      <c r="I61">
        <f>'Raw Data'!I61</f>
        <v>0</v>
      </c>
      <c r="J61">
        <f>'Raw Data'!J61</f>
        <v>0</v>
      </c>
      <c r="K61">
        <f>'Raw Data'!K61</f>
        <v>0</v>
      </c>
      <c r="L61">
        <f>'Raw Data'!L61</f>
        <v>0</v>
      </c>
      <c r="M61">
        <f>'Raw Data'!M61</f>
        <v>0</v>
      </c>
    </row>
    <row r="62" spans="1:13" x14ac:dyDescent="0.3">
      <c r="A62">
        <f>'Raw Data'!A62</f>
        <v>0</v>
      </c>
      <c r="B62">
        <f>'Raw Data'!B62</f>
        <v>0</v>
      </c>
      <c r="C62">
        <f>'Raw Data'!C62</f>
        <v>0</v>
      </c>
      <c r="D62">
        <f>'Raw Data'!D62</f>
        <v>0</v>
      </c>
      <c r="E62">
        <f>'Raw Data'!E62</f>
        <v>0</v>
      </c>
      <c r="F62">
        <f>'Raw Data'!F62</f>
        <v>0</v>
      </c>
      <c r="G62">
        <f>'Raw Data'!G62</f>
        <v>0</v>
      </c>
      <c r="H62">
        <f>'Raw Data'!H62</f>
        <v>0</v>
      </c>
      <c r="I62">
        <f>'Raw Data'!I62</f>
        <v>0</v>
      </c>
      <c r="J62">
        <f>'Raw Data'!J62</f>
        <v>0</v>
      </c>
      <c r="K62">
        <f>'Raw Data'!K62</f>
        <v>0</v>
      </c>
      <c r="L62">
        <f>'Raw Data'!L62</f>
        <v>0</v>
      </c>
      <c r="M62">
        <f>'Raw Data'!M62</f>
        <v>0</v>
      </c>
    </row>
    <row r="63" spans="1:13" x14ac:dyDescent="0.3">
      <c r="A63">
        <f>'Raw Data'!A63</f>
        <v>0</v>
      </c>
      <c r="B63">
        <f>'Raw Data'!B63</f>
        <v>0</v>
      </c>
      <c r="C63">
        <f>'Raw Data'!C63</f>
        <v>0</v>
      </c>
      <c r="D63">
        <f>'Raw Data'!D63</f>
        <v>0</v>
      </c>
      <c r="E63">
        <f>'Raw Data'!E63</f>
        <v>0</v>
      </c>
      <c r="F63">
        <f>'Raw Data'!F63</f>
        <v>0</v>
      </c>
      <c r="G63">
        <f>'Raw Data'!G63</f>
        <v>0</v>
      </c>
      <c r="H63">
        <f>'Raw Data'!H63</f>
        <v>0</v>
      </c>
      <c r="I63">
        <f>'Raw Data'!I63</f>
        <v>0</v>
      </c>
      <c r="J63">
        <f>'Raw Data'!J63</f>
        <v>0</v>
      </c>
      <c r="K63">
        <f>'Raw Data'!K63</f>
        <v>0</v>
      </c>
      <c r="L63">
        <f>'Raw Data'!L63</f>
        <v>0</v>
      </c>
      <c r="M63">
        <f>'Raw Data'!M63</f>
        <v>0</v>
      </c>
    </row>
    <row r="64" spans="1:13" x14ac:dyDescent="0.3">
      <c r="A64">
        <f>'Raw Data'!A64</f>
        <v>0</v>
      </c>
      <c r="B64">
        <f>'Raw Data'!B64</f>
        <v>0</v>
      </c>
      <c r="C64">
        <f>'Raw Data'!C64</f>
        <v>0</v>
      </c>
      <c r="D64">
        <f>'Raw Data'!D64</f>
        <v>0</v>
      </c>
      <c r="E64">
        <f>'Raw Data'!E64</f>
        <v>0</v>
      </c>
      <c r="F64">
        <f>'Raw Data'!F64</f>
        <v>0</v>
      </c>
      <c r="G64">
        <f>'Raw Data'!G64</f>
        <v>0</v>
      </c>
      <c r="H64">
        <f>'Raw Data'!H64</f>
        <v>0</v>
      </c>
      <c r="I64">
        <f>'Raw Data'!I64</f>
        <v>0</v>
      </c>
      <c r="J64">
        <f>'Raw Data'!J64</f>
        <v>0</v>
      </c>
      <c r="K64">
        <f>'Raw Data'!K64</f>
        <v>0</v>
      </c>
      <c r="L64">
        <f>'Raw Data'!L64</f>
        <v>0</v>
      </c>
      <c r="M64">
        <f>'Raw Data'!M64</f>
        <v>0</v>
      </c>
    </row>
    <row r="65" spans="1:13" x14ac:dyDescent="0.3">
      <c r="A65">
        <f>'Raw Data'!A65</f>
        <v>0</v>
      </c>
      <c r="B65">
        <f>'Raw Data'!B65</f>
        <v>0</v>
      </c>
      <c r="C65">
        <f>'Raw Data'!C65</f>
        <v>0</v>
      </c>
      <c r="D65">
        <f>'Raw Data'!D65</f>
        <v>0</v>
      </c>
      <c r="E65">
        <f>'Raw Data'!E65</f>
        <v>0</v>
      </c>
      <c r="F65">
        <f>'Raw Data'!F65</f>
        <v>0</v>
      </c>
      <c r="G65">
        <f>'Raw Data'!G65</f>
        <v>0</v>
      </c>
      <c r="H65">
        <f>'Raw Data'!H65</f>
        <v>0</v>
      </c>
      <c r="I65">
        <f>'Raw Data'!I65</f>
        <v>0</v>
      </c>
      <c r="J65">
        <f>'Raw Data'!J65</f>
        <v>0</v>
      </c>
      <c r="K65">
        <f>'Raw Data'!K65</f>
        <v>0</v>
      </c>
      <c r="L65">
        <f>'Raw Data'!L65</f>
        <v>0</v>
      </c>
      <c r="M65">
        <f>'Raw Data'!M65</f>
        <v>0</v>
      </c>
    </row>
    <row r="66" spans="1:13" x14ac:dyDescent="0.3">
      <c r="A66">
        <f>'Raw Data'!A66</f>
        <v>0</v>
      </c>
      <c r="B66">
        <f>'Raw Data'!B66</f>
        <v>0</v>
      </c>
      <c r="C66">
        <f>'Raw Data'!C66</f>
        <v>0</v>
      </c>
      <c r="D66">
        <f>'Raw Data'!D66</f>
        <v>0</v>
      </c>
      <c r="E66">
        <f>'Raw Data'!E66</f>
        <v>0</v>
      </c>
      <c r="F66">
        <f>'Raw Data'!F66</f>
        <v>0</v>
      </c>
      <c r="G66">
        <f>'Raw Data'!G66</f>
        <v>0</v>
      </c>
      <c r="H66">
        <f>'Raw Data'!H66</f>
        <v>0</v>
      </c>
      <c r="I66">
        <f>'Raw Data'!I66</f>
        <v>0</v>
      </c>
      <c r="J66">
        <f>'Raw Data'!J66</f>
        <v>0</v>
      </c>
      <c r="K66">
        <f>'Raw Data'!K66</f>
        <v>0</v>
      </c>
      <c r="L66">
        <f>'Raw Data'!L66</f>
        <v>0</v>
      </c>
      <c r="M66">
        <f>'Raw Data'!M66</f>
        <v>0</v>
      </c>
    </row>
    <row r="67" spans="1:13" x14ac:dyDescent="0.3">
      <c r="A67">
        <f>'Raw Data'!A67</f>
        <v>0</v>
      </c>
      <c r="B67">
        <f>'Raw Data'!B67</f>
        <v>0</v>
      </c>
      <c r="C67">
        <f>'Raw Data'!C67</f>
        <v>0</v>
      </c>
      <c r="D67">
        <f>'Raw Data'!D67</f>
        <v>0</v>
      </c>
      <c r="E67">
        <f>'Raw Data'!E67</f>
        <v>0</v>
      </c>
      <c r="F67">
        <f>'Raw Data'!F67</f>
        <v>0</v>
      </c>
      <c r="G67">
        <f>'Raw Data'!G67</f>
        <v>0</v>
      </c>
      <c r="H67">
        <f>'Raw Data'!H67</f>
        <v>0</v>
      </c>
      <c r="I67">
        <f>'Raw Data'!I67</f>
        <v>0</v>
      </c>
      <c r="J67">
        <f>'Raw Data'!J67</f>
        <v>0</v>
      </c>
      <c r="K67">
        <f>'Raw Data'!K67</f>
        <v>0</v>
      </c>
      <c r="L67">
        <f>'Raw Data'!L67</f>
        <v>0</v>
      </c>
      <c r="M67">
        <f>'Raw Data'!M67</f>
        <v>0</v>
      </c>
    </row>
    <row r="68" spans="1:13" x14ac:dyDescent="0.3">
      <c r="A68">
        <f>'Raw Data'!A68</f>
        <v>0</v>
      </c>
      <c r="B68">
        <f>'Raw Data'!B68</f>
        <v>0</v>
      </c>
      <c r="C68">
        <f>'Raw Data'!C68</f>
        <v>0</v>
      </c>
      <c r="D68">
        <f>'Raw Data'!D68</f>
        <v>0</v>
      </c>
      <c r="E68">
        <f>'Raw Data'!E68</f>
        <v>0</v>
      </c>
      <c r="F68">
        <f>'Raw Data'!F68</f>
        <v>0</v>
      </c>
      <c r="G68">
        <f>'Raw Data'!G68</f>
        <v>0</v>
      </c>
      <c r="H68">
        <f>'Raw Data'!H68</f>
        <v>0</v>
      </c>
      <c r="I68">
        <f>'Raw Data'!I68</f>
        <v>0</v>
      </c>
      <c r="J68">
        <f>'Raw Data'!J68</f>
        <v>0</v>
      </c>
      <c r="K68">
        <f>'Raw Data'!K68</f>
        <v>0</v>
      </c>
      <c r="L68">
        <f>'Raw Data'!L68</f>
        <v>0</v>
      </c>
      <c r="M68">
        <f>'Raw Data'!M68</f>
        <v>0</v>
      </c>
    </row>
    <row r="69" spans="1:13" x14ac:dyDescent="0.3">
      <c r="A69">
        <f>'Raw Data'!A69</f>
        <v>0</v>
      </c>
      <c r="B69">
        <f>'Raw Data'!B69</f>
        <v>0</v>
      </c>
      <c r="C69">
        <f>'Raw Data'!C69</f>
        <v>0</v>
      </c>
      <c r="D69">
        <f>'Raw Data'!D69</f>
        <v>0</v>
      </c>
      <c r="E69">
        <f>'Raw Data'!E69</f>
        <v>0</v>
      </c>
      <c r="F69">
        <f>'Raw Data'!F69</f>
        <v>0</v>
      </c>
      <c r="G69">
        <f>'Raw Data'!G69</f>
        <v>0</v>
      </c>
      <c r="H69">
        <f>'Raw Data'!H69</f>
        <v>0</v>
      </c>
      <c r="I69">
        <f>'Raw Data'!I69</f>
        <v>0</v>
      </c>
      <c r="J69">
        <f>'Raw Data'!J69</f>
        <v>0</v>
      </c>
      <c r="K69">
        <f>'Raw Data'!K69</f>
        <v>0</v>
      </c>
      <c r="L69">
        <f>'Raw Data'!L69</f>
        <v>0</v>
      </c>
      <c r="M69">
        <f>'Raw Data'!M69</f>
        <v>0</v>
      </c>
    </row>
    <row r="70" spans="1:13" x14ac:dyDescent="0.3">
      <c r="A70">
        <f>'Raw Data'!A70</f>
        <v>0</v>
      </c>
      <c r="B70">
        <f>'Raw Data'!B70</f>
        <v>0</v>
      </c>
      <c r="C70">
        <f>'Raw Data'!C70</f>
        <v>0</v>
      </c>
      <c r="D70">
        <f>'Raw Data'!D70</f>
        <v>0</v>
      </c>
      <c r="E70">
        <f>'Raw Data'!E70</f>
        <v>0</v>
      </c>
      <c r="F70">
        <f>'Raw Data'!F70</f>
        <v>0</v>
      </c>
      <c r="G70">
        <f>'Raw Data'!G70</f>
        <v>0</v>
      </c>
      <c r="H70">
        <f>'Raw Data'!H70</f>
        <v>0</v>
      </c>
      <c r="I70">
        <f>'Raw Data'!I70</f>
        <v>0</v>
      </c>
      <c r="J70">
        <f>'Raw Data'!J70</f>
        <v>0</v>
      </c>
      <c r="K70">
        <f>'Raw Data'!K70</f>
        <v>0</v>
      </c>
      <c r="L70">
        <f>'Raw Data'!L70</f>
        <v>0</v>
      </c>
      <c r="M70">
        <f>'Raw Data'!M70</f>
        <v>0</v>
      </c>
    </row>
    <row r="71" spans="1:13" x14ac:dyDescent="0.3">
      <c r="A71">
        <f>'Raw Data'!A71</f>
        <v>0</v>
      </c>
      <c r="B71">
        <f>'Raw Data'!B71</f>
        <v>0</v>
      </c>
      <c r="C71">
        <f>'Raw Data'!C71</f>
        <v>0</v>
      </c>
      <c r="D71">
        <f>'Raw Data'!D71</f>
        <v>0</v>
      </c>
      <c r="E71">
        <f>'Raw Data'!E71</f>
        <v>0</v>
      </c>
      <c r="F71">
        <f>'Raw Data'!F71</f>
        <v>0</v>
      </c>
      <c r="G71">
        <f>'Raw Data'!G71</f>
        <v>0</v>
      </c>
      <c r="H71">
        <f>'Raw Data'!H71</f>
        <v>0</v>
      </c>
      <c r="I71">
        <f>'Raw Data'!I71</f>
        <v>0</v>
      </c>
      <c r="J71">
        <f>'Raw Data'!J71</f>
        <v>0</v>
      </c>
      <c r="K71">
        <f>'Raw Data'!K71</f>
        <v>0</v>
      </c>
      <c r="L71">
        <f>'Raw Data'!L71</f>
        <v>0</v>
      </c>
      <c r="M71">
        <f>'Raw Data'!M71</f>
        <v>0</v>
      </c>
    </row>
    <row r="72" spans="1:13" x14ac:dyDescent="0.3">
      <c r="A72">
        <f>'Raw Data'!A72</f>
        <v>0</v>
      </c>
      <c r="B72">
        <f>'Raw Data'!B72</f>
        <v>0</v>
      </c>
      <c r="C72">
        <f>'Raw Data'!C72</f>
        <v>0</v>
      </c>
      <c r="D72">
        <f>'Raw Data'!D72</f>
        <v>0</v>
      </c>
      <c r="E72">
        <f>'Raw Data'!E72</f>
        <v>0</v>
      </c>
      <c r="F72">
        <f>'Raw Data'!F72</f>
        <v>0</v>
      </c>
      <c r="G72">
        <f>'Raw Data'!G72</f>
        <v>0</v>
      </c>
      <c r="H72">
        <f>'Raw Data'!H72</f>
        <v>0</v>
      </c>
      <c r="I72">
        <f>'Raw Data'!I72</f>
        <v>0</v>
      </c>
      <c r="J72">
        <f>'Raw Data'!J72</f>
        <v>0</v>
      </c>
      <c r="K72">
        <f>'Raw Data'!K72</f>
        <v>0</v>
      </c>
      <c r="L72">
        <f>'Raw Data'!L72</f>
        <v>0</v>
      </c>
      <c r="M72">
        <f>'Raw Data'!M72</f>
        <v>0</v>
      </c>
    </row>
    <row r="73" spans="1:13" x14ac:dyDescent="0.3">
      <c r="A73">
        <f>'Raw Data'!A73</f>
        <v>0</v>
      </c>
      <c r="B73">
        <f>'Raw Data'!B73</f>
        <v>0</v>
      </c>
      <c r="C73">
        <f>'Raw Data'!C73</f>
        <v>0</v>
      </c>
      <c r="D73">
        <f>'Raw Data'!D73</f>
        <v>0</v>
      </c>
      <c r="E73">
        <f>'Raw Data'!E73</f>
        <v>0</v>
      </c>
      <c r="F73">
        <f>'Raw Data'!F73</f>
        <v>0</v>
      </c>
      <c r="G73">
        <f>'Raw Data'!G73</f>
        <v>0</v>
      </c>
      <c r="H73">
        <f>'Raw Data'!H73</f>
        <v>0</v>
      </c>
      <c r="I73">
        <f>'Raw Data'!I73</f>
        <v>0</v>
      </c>
      <c r="J73">
        <f>'Raw Data'!J73</f>
        <v>0</v>
      </c>
      <c r="K73">
        <f>'Raw Data'!K73</f>
        <v>0</v>
      </c>
      <c r="L73">
        <f>'Raw Data'!L73</f>
        <v>0</v>
      </c>
      <c r="M73">
        <f>'Raw Data'!M73</f>
        <v>0</v>
      </c>
    </row>
    <row r="74" spans="1:13" x14ac:dyDescent="0.3">
      <c r="A74">
        <f>'Raw Data'!A74</f>
        <v>0</v>
      </c>
      <c r="B74">
        <f>'Raw Data'!B74</f>
        <v>0</v>
      </c>
      <c r="C74">
        <f>'Raw Data'!C74</f>
        <v>0</v>
      </c>
      <c r="D74">
        <f>'Raw Data'!D74</f>
        <v>0</v>
      </c>
      <c r="E74">
        <f>'Raw Data'!E74</f>
        <v>0</v>
      </c>
      <c r="F74">
        <f>'Raw Data'!F74</f>
        <v>0</v>
      </c>
      <c r="G74">
        <f>'Raw Data'!G74</f>
        <v>0</v>
      </c>
      <c r="H74">
        <f>'Raw Data'!H74</f>
        <v>0</v>
      </c>
      <c r="I74">
        <f>'Raw Data'!I74</f>
        <v>0</v>
      </c>
      <c r="J74">
        <f>'Raw Data'!J74</f>
        <v>0</v>
      </c>
      <c r="K74">
        <f>'Raw Data'!K74</f>
        <v>0</v>
      </c>
      <c r="L74">
        <f>'Raw Data'!L74</f>
        <v>0</v>
      </c>
      <c r="M74">
        <f>'Raw Data'!M74</f>
        <v>0</v>
      </c>
    </row>
    <row r="75" spans="1:13" x14ac:dyDescent="0.3">
      <c r="A75">
        <f>'Raw Data'!A75</f>
        <v>0</v>
      </c>
      <c r="B75">
        <f>'Raw Data'!B75</f>
        <v>0</v>
      </c>
      <c r="C75">
        <f>'Raw Data'!C75</f>
        <v>0</v>
      </c>
      <c r="D75">
        <f>'Raw Data'!D75</f>
        <v>0</v>
      </c>
      <c r="E75">
        <f>'Raw Data'!E75</f>
        <v>0</v>
      </c>
      <c r="F75">
        <f>'Raw Data'!F75</f>
        <v>0</v>
      </c>
      <c r="G75">
        <f>'Raw Data'!G75</f>
        <v>0</v>
      </c>
      <c r="H75">
        <f>'Raw Data'!H75</f>
        <v>0</v>
      </c>
      <c r="I75">
        <f>'Raw Data'!I75</f>
        <v>0</v>
      </c>
      <c r="J75">
        <f>'Raw Data'!J75</f>
        <v>0</v>
      </c>
      <c r="K75">
        <f>'Raw Data'!K75</f>
        <v>0</v>
      </c>
      <c r="L75">
        <f>'Raw Data'!L75</f>
        <v>0</v>
      </c>
      <c r="M75">
        <f>'Raw Data'!M75</f>
        <v>0</v>
      </c>
    </row>
    <row r="76" spans="1:13" x14ac:dyDescent="0.3">
      <c r="A76">
        <f>'Raw Data'!A76</f>
        <v>0</v>
      </c>
      <c r="B76">
        <f>'Raw Data'!B76</f>
        <v>0</v>
      </c>
      <c r="C76">
        <f>'Raw Data'!C76</f>
        <v>0</v>
      </c>
      <c r="D76">
        <f>'Raw Data'!D76</f>
        <v>0</v>
      </c>
      <c r="E76">
        <f>'Raw Data'!E76</f>
        <v>0</v>
      </c>
      <c r="F76">
        <f>'Raw Data'!F76</f>
        <v>0</v>
      </c>
      <c r="G76">
        <f>'Raw Data'!G76</f>
        <v>0</v>
      </c>
      <c r="H76">
        <f>'Raw Data'!H76</f>
        <v>0</v>
      </c>
      <c r="I76">
        <f>'Raw Data'!I76</f>
        <v>0</v>
      </c>
      <c r="J76">
        <f>'Raw Data'!J76</f>
        <v>0</v>
      </c>
      <c r="K76">
        <f>'Raw Data'!K76</f>
        <v>0</v>
      </c>
      <c r="L76">
        <f>'Raw Data'!L76</f>
        <v>0</v>
      </c>
      <c r="M76">
        <f>'Raw Data'!M76</f>
        <v>0</v>
      </c>
    </row>
    <row r="77" spans="1:13" x14ac:dyDescent="0.3">
      <c r="A77">
        <f>'Raw Data'!A77</f>
        <v>0</v>
      </c>
      <c r="B77">
        <f>'Raw Data'!B77</f>
        <v>0</v>
      </c>
      <c r="C77">
        <f>'Raw Data'!C77</f>
        <v>0</v>
      </c>
      <c r="D77">
        <f>'Raw Data'!D77</f>
        <v>0</v>
      </c>
      <c r="E77">
        <f>'Raw Data'!E77</f>
        <v>0</v>
      </c>
      <c r="F77">
        <f>'Raw Data'!F77</f>
        <v>0</v>
      </c>
      <c r="G77">
        <f>'Raw Data'!G77</f>
        <v>0</v>
      </c>
      <c r="H77">
        <f>'Raw Data'!H77</f>
        <v>0</v>
      </c>
      <c r="I77">
        <f>'Raw Data'!I77</f>
        <v>0</v>
      </c>
      <c r="J77">
        <f>'Raw Data'!J77</f>
        <v>0</v>
      </c>
      <c r="K77">
        <f>'Raw Data'!K77</f>
        <v>0</v>
      </c>
      <c r="L77">
        <f>'Raw Data'!L77</f>
        <v>0</v>
      </c>
      <c r="M77">
        <f>'Raw Data'!M77</f>
        <v>0</v>
      </c>
    </row>
    <row r="78" spans="1:13" x14ac:dyDescent="0.3">
      <c r="A78">
        <f>'Raw Data'!A78</f>
        <v>0</v>
      </c>
      <c r="B78">
        <f>'Raw Data'!B78</f>
        <v>0</v>
      </c>
      <c r="C78">
        <f>'Raw Data'!C78</f>
        <v>0</v>
      </c>
      <c r="D78">
        <f>'Raw Data'!D78</f>
        <v>0</v>
      </c>
      <c r="E78">
        <f>'Raw Data'!E78</f>
        <v>0</v>
      </c>
      <c r="F78">
        <f>'Raw Data'!F78</f>
        <v>0</v>
      </c>
      <c r="G78">
        <f>'Raw Data'!G78</f>
        <v>0</v>
      </c>
      <c r="H78">
        <f>'Raw Data'!H78</f>
        <v>0</v>
      </c>
      <c r="I78">
        <f>'Raw Data'!I78</f>
        <v>0</v>
      </c>
      <c r="J78">
        <f>'Raw Data'!J78</f>
        <v>0</v>
      </c>
      <c r="K78">
        <f>'Raw Data'!K78</f>
        <v>0</v>
      </c>
      <c r="L78">
        <f>'Raw Data'!L78</f>
        <v>0</v>
      </c>
      <c r="M78">
        <f>'Raw Data'!M78</f>
        <v>0</v>
      </c>
    </row>
    <row r="79" spans="1:13" x14ac:dyDescent="0.3">
      <c r="A79">
        <f>'Raw Data'!A79</f>
        <v>0</v>
      </c>
      <c r="B79">
        <f>'Raw Data'!B79</f>
        <v>0</v>
      </c>
      <c r="C79">
        <f>'Raw Data'!C79</f>
        <v>0</v>
      </c>
      <c r="D79">
        <f>'Raw Data'!D79</f>
        <v>0</v>
      </c>
      <c r="E79">
        <f>'Raw Data'!E79</f>
        <v>0</v>
      </c>
      <c r="F79">
        <f>'Raw Data'!F79</f>
        <v>0</v>
      </c>
      <c r="G79">
        <f>'Raw Data'!G79</f>
        <v>0</v>
      </c>
      <c r="H79">
        <f>'Raw Data'!H79</f>
        <v>0</v>
      </c>
      <c r="I79">
        <f>'Raw Data'!I79</f>
        <v>0</v>
      </c>
      <c r="J79">
        <f>'Raw Data'!J79</f>
        <v>0</v>
      </c>
      <c r="K79">
        <f>'Raw Data'!K79</f>
        <v>0</v>
      </c>
      <c r="L79">
        <f>'Raw Data'!L79</f>
        <v>0</v>
      </c>
      <c r="M79">
        <f>'Raw Data'!M79</f>
        <v>0</v>
      </c>
    </row>
    <row r="80" spans="1:13" x14ac:dyDescent="0.3">
      <c r="A80">
        <f>'Raw Data'!A80</f>
        <v>0</v>
      </c>
      <c r="B80">
        <f>'Raw Data'!B80</f>
        <v>0</v>
      </c>
      <c r="C80">
        <f>'Raw Data'!C80</f>
        <v>0</v>
      </c>
      <c r="D80">
        <f>'Raw Data'!D80</f>
        <v>0</v>
      </c>
      <c r="E80">
        <f>'Raw Data'!E80</f>
        <v>0</v>
      </c>
      <c r="F80">
        <f>'Raw Data'!F80</f>
        <v>0</v>
      </c>
      <c r="G80">
        <f>'Raw Data'!G80</f>
        <v>0</v>
      </c>
      <c r="H80">
        <f>'Raw Data'!H80</f>
        <v>0</v>
      </c>
      <c r="I80">
        <f>'Raw Data'!I80</f>
        <v>0</v>
      </c>
      <c r="J80">
        <f>'Raw Data'!J80</f>
        <v>0</v>
      </c>
      <c r="K80">
        <f>'Raw Data'!K80</f>
        <v>0</v>
      </c>
      <c r="L80">
        <f>'Raw Data'!L80</f>
        <v>0</v>
      </c>
      <c r="M80">
        <f>'Raw Data'!M80</f>
        <v>0</v>
      </c>
    </row>
    <row r="81" spans="1:13" x14ac:dyDescent="0.3">
      <c r="A81">
        <f>'Raw Data'!A81</f>
        <v>0</v>
      </c>
      <c r="B81">
        <f>'Raw Data'!B81</f>
        <v>0</v>
      </c>
      <c r="C81">
        <f>'Raw Data'!C81</f>
        <v>0</v>
      </c>
      <c r="D81">
        <f>'Raw Data'!D81</f>
        <v>0</v>
      </c>
      <c r="E81">
        <f>'Raw Data'!E81</f>
        <v>0</v>
      </c>
      <c r="F81">
        <f>'Raw Data'!F81</f>
        <v>0</v>
      </c>
      <c r="G81">
        <f>'Raw Data'!G81</f>
        <v>0</v>
      </c>
      <c r="H81">
        <f>'Raw Data'!H81</f>
        <v>0</v>
      </c>
      <c r="I81">
        <f>'Raw Data'!I81</f>
        <v>0</v>
      </c>
      <c r="J81">
        <f>'Raw Data'!J81</f>
        <v>0</v>
      </c>
      <c r="K81">
        <f>'Raw Data'!K81</f>
        <v>0</v>
      </c>
      <c r="L81">
        <f>'Raw Data'!L81</f>
        <v>0</v>
      </c>
      <c r="M81">
        <f>'Raw Data'!M81</f>
        <v>0</v>
      </c>
    </row>
    <row r="82" spans="1:13" x14ac:dyDescent="0.3">
      <c r="A82">
        <f>'Raw Data'!A82</f>
        <v>0</v>
      </c>
      <c r="B82">
        <f>'Raw Data'!B82</f>
        <v>0</v>
      </c>
      <c r="C82">
        <f>'Raw Data'!C82</f>
        <v>0</v>
      </c>
      <c r="D82">
        <f>'Raw Data'!D82</f>
        <v>0</v>
      </c>
      <c r="E82">
        <f>'Raw Data'!E82</f>
        <v>0</v>
      </c>
      <c r="F82">
        <f>'Raw Data'!F82</f>
        <v>0</v>
      </c>
      <c r="G82">
        <f>'Raw Data'!G82</f>
        <v>0</v>
      </c>
      <c r="H82">
        <f>'Raw Data'!H82</f>
        <v>0</v>
      </c>
      <c r="I82">
        <f>'Raw Data'!I82</f>
        <v>0</v>
      </c>
      <c r="J82">
        <f>'Raw Data'!J82</f>
        <v>0</v>
      </c>
      <c r="K82">
        <f>'Raw Data'!K82</f>
        <v>0</v>
      </c>
      <c r="L82">
        <f>'Raw Data'!L82</f>
        <v>0</v>
      </c>
      <c r="M82">
        <f>'Raw Data'!M82</f>
        <v>0</v>
      </c>
    </row>
    <row r="83" spans="1:13" x14ac:dyDescent="0.3">
      <c r="A83">
        <f>'Raw Data'!A83</f>
        <v>0</v>
      </c>
      <c r="B83">
        <f>'Raw Data'!B83</f>
        <v>0</v>
      </c>
      <c r="C83">
        <f>'Raw Data'!C83</f>
        <v>0</v>
      </c>
      <c r="D83">
        <f>'Raw Data'!D83</f>
        <v>0</v>
      </c>
      <c r="E83">
        <f>'Raw Data'!E83</f>
        <v>0</v>
      </c>
      <c r="F83">
        <f>'Raw Data'!F83</f>
        <v>0</v>
      </c>
      <c r="G83">
        <f>'Raw Data'!G83</f>
        <v>0</v>
      </c>
      <c r="H83">
        <f>'Raw Data'!H83</f>
        <v>0</v>
      </c>
      <c r="I83">
        <f>'Raw Data'!I83</f>
        <v>0</v>
      </c>
      <c r="J83">
        <f>'Raw Data'!J83</f>
        <v>0</v>
      </c>
      <c r="K83">
        <f>'Raw Data'!K83</f>
        <v>0</v>
      </c>
      <c r="L83">
        <f>'Raw Data'!L83</f>
        <v>0</v>
      </c>
      <c r="M83">
        <f>'Raw Data'!M83</f>
        <v>0</v>
      </c>
    </row>
    <row r="84" spans="1:13" x14ac:dyDescent="0.3">
      <c r="A84">
        <f>'Raw Data'!A84</f>
        <v>0</v>
      </c>
      <c r="B84">
        <f>'Raw Data'!B84</f>
        <v>0</v>
      </c>
      <c r="C84">
        <f>'Raw Data'!C84</f>
        <v>0</v>
      </c>
      <c r="D84">
        <f>'Raw Data'!D84</f>
        <v>0</v>
      </c>
      <c r="E84">
        <f>'Raw Data'!E84</f>
        <v>0</v>
      </c>
      <c r="F84">
        <f>'Raw Data'!F84</f>
        <v>0</v>
      </c>
      <c r="G84">
        <f>'Raw Data'!G84</f>
        <v>0</v>
      </c>
      <c r="H84">
        <f>'Raw Data'!H84</f>
        <v>0</v>
      </c>
      <c r="I84">
        <f>'Raw Data'!I84</f>
        <v>0</v>
      </c>
      <c r="J84">
        <f>'Raw Data'!J84</f>
        <v>0</v>
      </c>
      <c r="K84">
        <f>'Raw Data'!K84</f>
        <v>0</v>
      </c>
      <c r="L84">
        <f>'Raw Data'!L84</f>
        <v>0</v>
      </c>
      <c r="M84">
        <f>'Raw Data'!M84</f>
        <v>0</v>
      </c>
    </row>
    <row r="85" spans="1:13" x14ac:dyDescent="0.3">
      <c r="A85">
        <f>'Raw Data'!A85</f>
        <v>0</v>
      </c>
      <c r="B85">
        <f>'Raw Data'!B85</f>
        <v>0</v>
      </c>
      <c r="C85">
        <f>'Raw Data'!C85</f>
        <v>0</v>
      </c>
      <c r="D85">
        <f>'Raw Data'!D85</f>
        <v>0</v>
      </c>
      <c r="E85">
        <f>'Raw Data'!E85</f>
        <v>0</v>
      </c>
      <c r="F85">
        <f>'Raw Data'!F85</f>
        <v>0</v>
      </c>
      <c r="G85">
        <f>'Raw Data'!G85</f>
        <v>0</v>
      </c>
      <c r="H85">
        <f>'Raw Data'!H85</f>
        <v>0</v>
      </c>
      <c r="I85">
        <f>'Raw Data'!I85</f>
        <v>0</v>
      </c>
      <c r="J85">
        <f>'Raw Data'!J85</f>
        <v>0</v>
      </c>
      <c r="K85">
        <f>'Raw Data'!K85</f>
        <v>0</v>
      </c>
      <c r="L85">
        <f>'Raw Data'!L85</f>
        <v>0</v>
      </c>
      <c r="M85">
        <f>'Raw Data'!M85</f>
        <v>0</v>
      </c>
    </row>
    <row r="86" spans="1:13" x14ac:dyDescent="0.3">
      <c r="A86">
        <f>'Raw Data'!A86</f>
        <v>0</v>
      </c>
      <c r="B86">
        <f>'Raw Data'!B86</f>
        <v>0</v>
      </c>
      <c r="C86">
        <f>'Raw Data'!C86</f>
        <v>0</v>
      </c>
      <c r="D86">
        <f>'Raw Data'!D86</f>
        <v>0</v>
      </c>
      <c r="E86">
        <f>'Raw Data'!E86</f>
        <v>0</v>
      </c>
      <c r="F86">
        <f>'Raw Data'!F86</f>
        <v>0</v>
      </c>
      <c r="G86">
        <f>'Raw Data'!G86</f>
        <v>0</v>
      </c>
      <c r="H86">
        <f>'Raw Data'!H86</f>
        <v>0</v>
      </c>
      <c r="I86">
        <f>'Raw Data'!I86</f>
        <v>0</v>
      </c>
      <c r="J86">
        <f>'Raw Data'!J86</f>
        <v>0</v>
      </c>
      <c r="K86">
        <f>'Raw Data'!K86</f>
        <v>0</v>
      </c>
      <c r="L86">
        <f>'Raw Data'!L86</f>
        <v>0</v>
      </c>
      <c r="M86">
        <f>'Raw Data'!M86</f>
        <v>0</v>
      </c>
    </row>
    <row r="87" spans="1:13" x14ac:dyDescent="0.3">
      <c r="A87">
        <f>'Raw Data'!A87</f>
        <v>0</v>
      </c>
      <c r="B87">
        <f>'Raw Data'!B87</f>
        <v>0</v>
      </c>
      <c r="C87">
        <f>'Raw Data'!C87</f>
        <v>0</v>
      </c>
      <c r="D87">
        <f>'Raw Data'!D87</f>
        <v>0</v>
      </c>
      <c r="E87">
        <f>'Raw Data'!E87</f>
        <v>0</v>
      </c>
      <c r="F87">
        <f>'Raw Data'!F87</f>
        <v>0</v>
      </c>
      <c r="G87">
        <f>'Raw Data'!G87</f>
        <v>0</v>
      </c>
      <c r="H87">
        <f>'Raw Data'!H87</f>
        <v>0</v>
      </c>
      <c r="I87">
        <f>'Raw Data'!I87</f>
        <v>0</v>
      </c>
      <c r="J87">
        <f>'Raw Data'!J87</f>
        <v>0</v>
      </c>
      <c r="K87">
        <f>'Raw Data'!K87</f>
        <v>0</v>
      </c>
      <c r="L87">
        <f>'Raw Data'!L87</f>
        <v>0</v>
      </c>
      <c r="M87">
        <f>'Raw Data'!M87</f>
        <v>0</v>
      </c>
    </row>
    <row r="88" spans="1:13" x14ac:dyDescent="0.3">
      <c r="A88">
        <f>'Raw Data'!A88</f>
        <v>0</v>
      </c>
      <c r="B88">
        <f>'Raw Data'!B88</f>
        <v>0</v>
      </c>
      <c r="C88">
        <f>'Raw Data'!C88</f>
        <v>0</v>
      </c>
      <c r="D88">
        <f>'Raw Data'!D88</f>
        <v>0</v>
      </c>
      <c r="E88">
        <f>'Raw Data'!E88</f>
        <v>0</v>
      </c>
      <c r="F88">
        <f>'Raw Data'!F88</f>
        <v>0</v>
      </c>
      <c r="G88">
        <f>'Raw Data'!G88</f>
        <v>0</v>
      </c>
      <c r="H88">
        <f>'Raw Data'!H88</f>
        <v>0</v>
      </c>
      <c r="I88">
        <f>'Raw Data'!I88</f>
        <v>0</v>
      </c>
      <c r="J88">
        <f>'Raw Data'!J88</f>
        <v>0</v>
      </c>
      <c r="K88">
        <f>'Raw Data'!K88</f>
        <v>0</v>
      </c>
      <c r="L88">
        <f>'Raw Data'!L88</f>
        <v>0</v>
      </c>
      <c r="M88">
        <f>'Raw Data'!M88</f>
        <v>0</v>
      </c>
    </row>
    <row r="89" spans="1:13" x14ac:dyDescent="0.3">
      <c r="A89">
        <f>'Raw Data'!A89</f>
        <v>0</v>
      </c>
      <c r="B89">
        <f>'Raw Data'!B89</f>
        <v>0</v>
      </c>
      <c r="C89">
        <f>'Raw Data'!C89</f>
        <v>0</v>
      </c>
      <c r="D89">
        <f>'Raw Data'!D89</f>
        <v>0</v>
      </c>
      <c r="E89">
        <f>'Raw Data'!E89</f>
        <v>0</v>
      </c>
      <c r="F89">
        <f>'Raw Data'!F89</f>
        <v>0</v>
      </c>
      <c r="G89">
        <f>'Raw Data'!G89</f>
        <v>0</v>
      </c>
      <c r="H89">
        <f>'Raw Data'!H89</f>
        <v>0</v>
      </c>
      <c r="I89">
        <f>'Raw Data'!I89</f>
        <v>0</v>
      </c>
      <c r="J89">
        <f>'Raw Data'!J89</f>
        <v>0</v>
      </c>
      <c r="K89">
        <f>'Raw Data'!K89</f>
        <v>0</v>
      </c>
      <c r="L89">
        <f>'Raw Data'!L89</f>
        <v>0</v>
      </c>
      <c r="M89">
        <f>'Raw Data'!M89</f>
        <v>0</v>
      </c>
    </row>
    <row r="90" spans="1:13" x14ac:dyDescent="0.3">
      <c r="A90">
        <f>'Raw Data'!A90</f>
        <v>0</v>
      </c>
      <c r="B90">
        <f>'Raw Data'!B90</f>
        <v>0</v>
      </c>
      <c r="C90">
        <f>'Raw Data'!C90</f>
        <v>0</v>
      </c>
      <c r="D90">
        <f>'Raw Data'!D90</f>
        <v>0</v>
      </c>
      <c r="E90">
        <f>'Raw Data'!E90</f>
        <v>0</v>
      </c>
      <c r="F90">
        <f>'Raw Data'!F90</f>
        <v>0</v>
      </c>
      <c r="G90">
        <f>'Raw Data'!G90</f>
        <v>0</v>
      </c>
      <c r="H90">
        <f>'Raw Data'!H90</f>
        <v>0</v>
      </c>
      <c r="I90">
        <f>'Raw Data'!I90</f>
        <v>0</v>
      </c>
      <c r="J90">
        <f>'Raw Data'!J90</f>
        <v>0</v>
      </c>
      <c r="K90">
        <f>'Raw Data'!K90</f>
        <v>0</v>
      </c>
      <c r="L90">
        <f>'Raw Data'!L90</f>
        <v>0</v>
      </c>
      <c r="M90">
        <f>'Raw Data'!M90</f>
        <v>0</v>
      </c>
    </row>
    <row r="91" spans="1:13" x14ac:dyDescent="0.3">
      <c r="A91">
        <f>'Raw Data'!A91</f>
        <v>0</v>
      </c>
      <c r="B91">
        <f>'Raw Data'!B91</f>
        <v>0</v>
      </c>
      <c r="C91">
        <f>'Raw Data'!C91</f>
        <v>0</v>
      </c>
      <c r="D91">
        <f>'Raw Data'!D91</f>
        <v>0</v>
      </c>
      <c r="E91">
        <f>'Raw Data'!E91</f>
        <v>0</v>
      </c>
      <c r="F91">
        <f>'Raw Data'!F91</f>
        <v>0</v>
      </c>
      <c r="G91">
        <f>'Raw Data'!G91</f>
        <v>0</v>
      </c>
      <c r="H91">
        <f>'Raw Data'!H91</f>
        <v>0</v>
      </c>
      <c r="I91">
        <f>'Raw Data'!I91</f>
        <v>0</v>
      </c>
      <c r="J91">
        <f>'Raw Data'!J91</f>
        <v>0</v>
      </c>
      <c r="K91">
        <f>'Raw Data'!K91</f>
        <v>0</v>
      </c>
      <c r="L91">
        <f>'Raw Data'!L91</f>
        <v>0</v>
      </c>
      <c r="M91">
        <f>'Raw Data'!M91</f>
        <v>0</v>
      </c>
    </row>
    <row r="92" spans="1:13" x14ac:dyDescent="0.3">
      <c r="A92">
        <f>'Raw Data'!A92</f>
        <v>0</v>
      </c>
      <c r="B92">
        <f>'Raw Data'!B92</f>
        <v>0</v>
      </c>
      <c r="C92">
        <f>'Raw Data'!C92</f>
        <v>0</v>
      </c>
      <c r="D92">
        <f>'Raw Data'!D92</f>
        <v>0</v>
      </c>
      <c r="E92">
        <f>'Raw Data'!E92</f>
        <v>0</v>
      </c>
      <c r="F92">
        <f>'Raw Data'!F92</f>
        <v>0</v>
      </c>
      <c r="G92">
        <f>'Raw Data'!G92</f>
        <v>0</v>
      </c>
      <c r="H92">
        <f>'Raw Data'!H92</f>
        <v>0</v>
      </c>
      <c r="I92">
        <f>'Raw Data'!I92</f>
        <v>0</v>
      </c>
      <c r="J92">
        <f>'Raw Data'!J92</f>
        <v>0</v>
      </c>
      <c r="K92">
        <f>'Raw Data'!K92</f>
        <v>0</v>
      </c>
      <c r="L92">
        <f>'Raw Data'!L92</f>
        <v>0</v>
      </c>
      <c r="M92">
        <f>'Raw Data'!M92</f>
        <v>0</v>
      </c>
    </row>
    <row r="93" spans="1:13" x14ac:dyDescent="0.3">
      <c r="A93">
        <f>'Raw Data'!A93</f>
        <v>0</v>
      </c>
      <c r="B93">
        <f>'Raw Data'!B93</f>
        <v>0</v>
      </c>
      <c r="C93">
        <f>'Raw Data'!C93</f>
        <v>0</v>
      </c>
      <c r="D93">
        <f>'Raw Data'!D93</f>
        <v>0</v>
      </c>
      <c r="E93">
        <f>'Raw Data'!E93</f>
        <v>0</v>
      </c>
      <c r="F93">
        <f>'Raw Data'!F93</f>
        <v>0</v>
      </c>
      <c r="G93">
        <f>'Raw Data'!G93</f>
        <v>0</v>
      </c>
      <c r="H93">
        <f>'Raw Data'!H93</f>
        <v>0</v>
      </c>
      <c r="I93">
        <f>'Raw Data'!I93</f>
        <v>0</v>
      </c>
      <c r="J93">
        <f>'Raw Data'!J93</f>
        <v>0</v>
      </c>
      <c r="K93">
        <f>'Raw Data'!K93</f>
        <v>0</v>
      </c>
      <c r="L93">
        <f>'Raw Data'!L93</f>
        <v>0</v>
      </c>
      <c r="M93">
        <f>'Raw Data'!M93</f>
        <v>0</v>
      </c>
    </row>
    <row r="94" spans="1:13" x14ac:dyDescent="0.3">
      <c r="A94">
        <f>'Raw Data'!A94</f>
        <v>0</v>
      </c>
      <c r="B94">
        <f>'Raw Data'!B94</f>
        <v>0</v>
      </c>
      <c r="C94">
        <f>'Raw Data'!C94</f>
        <v>0</v>
      </c>
      <c r="D94">
        <f>'Raw Data'!D94</f>
        <v>0</v>
      </c>
      <c r="E94">
        <f>'Raw Data'!E94</f>
        <v>0</v>
      </c>
      <c r="F94">
        <f>'Raw Data'!F94</f>
        <v>0</v>
      </c>
      <c r="G94">
        <f>'Raw Data'!G94</f>
        <v>0</v>
      </c>
      <c r="H94">
        <f>'Raw Data'!H94</f>
        <v>0</v>
      </c>
      <c r="I94">
        <f>'Raw Data'!I94</f>
        <v>0</v>
      </c>
      <c r="J94">
        <f>'Raw Data'!J94</f>
        <v>0</v>
      </c>
      <c r="K94">
        <f>'Raw Data'!K94</f>
        <v>0</v>
      </c>
      <c r="L94">
        <f>'Raw Data'!L94</f>
        <v>0</v>
      </c>
      <c r="M94">
        <f>'Raw Data'!M94</f>
        <v>0</v>
      </c>
    </row>
    <row r="95" spans="1:13" x14ac:dyDescent="0.3">
      <c r="A95">
        <f>'Raw Data'!A95</f>
        <v>0</v>
      </c>
      <c r="B95">
        <f>'Raw Data'!B95</f>
        <v>0</v>
      </c>
      <c r="C95">
        <f>'Raw Data'!C95</f>
        <v>0</v>
      </c>
      <c r="D95">
        <f>'Raw Data'!D95</f>
        <v>0</v>
      </c>
      <c r="E95">
        <f>'Raw Data'!E95</f>
        <v>0</v>
      </c>
      <c r="F95">
        <f>'Raw Data'!F95</f>
        <v>0</v>
      </c>
      <c r="G95">
        <f>'Raw Data'!G95</f>
        <v>0</v>
      </c>
      <c r="H95">
        <f>'Raw Data'!H95</f>
        <v>0</v>
      </c>
      <c r="I95">
        <f>'Raw Data'!I95</f>
        <v>0</v>
      </c>
      <c r="J95">
        <f>'Raw Data'!J95</f>
        <v>0</v>
      </c>
      <c r="K95">
        <f>'Raw Data'!K95</f>
        <v>0</v>
      </c>
      <c r="L95">
        <f>'Raw Data'!L95</f>
        <v>0</v>
      </c>
      <c r="M95">
        <f>'Raw Data'!M95</f>
        <v>0</v>
      </c>
    </row>
    <row r="96" spans="1:13" x14ac:dyDescent="0.3">
      <c r="A96">
        <f>'Raw Data'!A96</f>
        <v>0</v>
      </c>
      <c r="B96">
        <f>'Raw Data'!B96</f>
        <v>0</v>
      </c>
      <c r="C96">
        <f>'Raw Data'!C96</f>
        <v>0</v>
      </c>
      <c r="D96">
        <f>'Raw Data'!D96</f>
        <v>0</v>
      </c>
      <c r="E96">
        <f>'Raw Data'!E96</f>
        <v>0</v>
      </c>
      <c r="F96">
        <f>'Raw Data'!F96</f>
        <v>0</v>
      </c>
      <c r="G96">
        <f>'Raw Data'!G96</f>
        <v>0</v>
      </c>
      <c r="H96">
        <f>'Raw Data'!H96</f>
        <v>0</v>
      </c>
      <c r="I96">
        <f>'Raw Data'!I96</f>
        <v>0</v>
      </c>
      <c r="J96">
        <f>'Raw Data'!J96</f>
        <v>0</v>
      </c>
      <c r="K96">
        <f>'Raw Data'!K96</f>
        <v>0</v>
      </c>
      <c r="L96">
        <f>'Raw Data'!L96</f>
        <v>0</v>
      </c>
      <c r="M96">
        <f>'Raw Data'!M96</f>
        <v>0</v>
      </c>
    </row>
    <row r="97" spans="1:13" x14ac:dyDescent="0.3">
      <c r="A97">
        <f>'Raw Data'!A97</f>
        <v>0</v>
      </c>
      <c r="B97">
        <f>'Raw Data'!B97</f>
        <v>0</v>
      </c>
      <c r="C97">
        <f>'Raw Data'!C97</f>
        <v>0</v>
      </c>
      <c r="D97">
        <f>'Raw Data'!D97</f>
        <v>0</v>
      </c>
      <c r="E97">
        <f>'Raw Data'!E97</f>
        <v>0</v>
      </c>
      <c r="F97">
        <f>'Raw Data'!F97</f>
        <v>0</v>
      </c>
      <c r="G97">
        <f>'Raw Data'!G97</f>
        <v>0</v>
      </c>
      <c r="H97">
        <f>'Raw Data'!H97</f>
        <v>0</v>
      </c>
      <c r="I97">
        <f>'Raw Data'!I97</f>
        <v>0</v>
      </c>
      <c r="J97">
        <f>'Raw Data'!J97</f>
        <v>0</v>
      </c>
      <c r="K97">
        <f>'Raw Data'!K97</f>
        <v>0</v>
      </c>
      <c r="L97">
        <f>'Raw Data'!L97</f>
        <v>0</v>
      </c>
      <c r="M97">
        <f>'Raw Data'!M97</f>
        <v>0</v>
      </c>
    </row>
    <row r="98" spans="1:13" x14ac:dyDescent="0.3">
      <c r="A98">
        <f>'Raw Data'!A98</f>
        <v>0</v>
      </c>
      <c r="B98">
        <f>'Raw Data'!B98</f>
        <v>0</v>
      </c>
      <c r="C98">
        <f>'Raw Data'!C98</f>
        <v>0</v>
      </c>
      <c r="D98">
        <f>'Raw Data'!D98</f>
        <v>0</v>
      </c>
      <c r="E98">
        <f>'Raw Data'!E98</f>
        <v>0</v>
      </c>
      <c r="F98">
        <f>'Raw Data'!F98</f>
        <v>0</v>
      </c>
      <c r="G98">
        <f>'Raw Data'!G98</f>
        <v>0</v>
      </c>
      <c r="H98">
        <f>'Raw Data'!H98</f>
        <v>0</v>
      </c>
      <c r="I98">
        <f>'Raw Data'!I98</f>
        <v>0</v>
      </c>
      <c r="J98">
        <f>'Raw Data'!J98</f>
        <v>0</v>
      </c>
      <c r="K98">
        <f>'Raw Data'!K98</f>
        <v>0</v>
      </c>
      <c r="L98">
        <f>'Raw Data'!L98</f>
        <v>0</v>
      </c>
      <c r="M98">
        <f>'Raw Data'!M98</f>
        <v>0</v>
      </c>
    </row>
    <row r="99" spans="1:13" x14ac:dyDescent="0.3">
      <c r="A99">
        <f>'Raw Data'!A99</f>
        <v>0</v>
      </c>
      <c r="B99">
        <f>'Raw Data'!B99</f>
        <v>0</v>
      </c>
      <c r="C99">
        <f>'Raw Data'!C99</f>
        <v>0</v>
      </c>
      <c r="D99">
        <f>'Raw Data'!D99</f>
        <v>0</v>
      </c>
      <c r="E99">
        <f>'Raw Data'!E99</f>
        <v>0</v>
      </c>
      <c r="F99">
        <f>'Raw Data'!F99</f>
        <v>0</v>
      </c>
      <c r="G99">
        <f>'Raw Data'!G99</f>
        <v>0</v>
      </c>
      <c r="H99">
        <f>'Raw Data'!H99</f>
        <v>0</v>
      </c>
      <c r="I99">
        <f>'Raw Data'!I99</f>
        <v>0</v>
      </c>
      <c r="J99">
        <f>'Raw Data'!J99</f>
        <v>0</v>
      </c>
      <c r="K99">
        <f>'Raw Data'!K99</f>
        <v>0</v>
      </c>
      <c r="L99">
        <f>'Raw Data'!L99</f>
        <v>0</v>
      </c>
      <c r="M99">
        <f>'Raw Data'!M99</f>
        <v>0</v>
      </c>
    </row>
    <row r="100" spans="1:13" x14ac:dyDescent="0.3">
      <c r="A100">
        <f>'Raw Data'!A100</f>
        <v>0</v>
      </c>
      <c r="B100">
        <f>'Raw Data'!B100</f>
        <v>0</v>
      </c>
      <c r="C100">
        <f>'Raw Data'!C100</f>
        <v>0</v>
      </c>
      <c r="D100">
        <f>'Raw Data'!D100</f>
        <v>0</v>
      </c>
      <c r="E100">
        <f>'Raw Data'!E100</f>
        <v>0</v>
      </c>
      <c r="F100">
        <f>'Raw Data'!F100</f>
        <v>0</v>
      </c>
      <c r="G100">
        <f>'Raw Data'!G100</f>
        <v>0</v>
      </c>
      <c r="H100">
        <f>'Raw Data'!H100</f>
        <v>0</v>
      </c>
      <c r="I100">
        <f>'Raw Data'!I100</f>
        <v>0</v>
      </c>
      <c r="J100">
        <f>'Raw Data'!J100</f>
        <v>0</v>
      </c>
      <c r="K100">
        <f>'Raw Data'!K100</f>
        <v>0</v>
      </c>
      <c r="L100">
        <f>'Raw Data'!L100</f>
        <v>0</v>
      </c>
      <c r="M100">
        <f>'Raw Data'!M100</f>
        <v>0</v>
      </c>
    </row>
    <row r="101" spans="1:13" x14ac:dyDescent="0.3">
      <c r="A101">
        <f>'Raw Data'!A101</f>
        <v>0</v>
      </c>
      <c r="B101">
        <f>'Raw Data'!B101</f>
        <v>0</v>
      </c>
      <c r="C101">
        <f>'Raw Data'!C101</f>
        <v>0</v>
      </c>
      <c r="D101">
        <f>'Raw Data'!D101</f>
        <v>0</v>
      </c>
      <c r="E101">
        <f>'Raw Data'!E101</f>
        <v>0</v>
      </c>
      <c r="F101">
        <f>'Raw Data'!F101</f>
        <v>0</v>
      </c>
      <c r="G101">
        <f>'Raw Data'!G101</f>
        <v>0</v>
      </c>
      <c r="H101">
        <f>'Raw Data'!H101</f>
        <v>0</v>
      </c>
      <c r="I101">
        <f>'Raw Data'!I101</f>
        <v>0</v>
      </c>
      <c r="J101">
        <f>'Raw Data'!J101</f>
        <v>0</v>
      </c>
      <c r="K101">
        <f>'Raw Data'!K101</f>
        <v>0</v>
      </c>
      <c r="L101">
        <f>'Raw Data'!L101</f>
        <v>0</v>
      </c>
      <c r="M101">
        <f>'Raw Data'!M101</f>
        <v>0</v>
      </c>
    </row>
    <row r="102" spans="1:13" x14ac:dyDescent="0.3">
      <c r="A102">
        <f>'Raw Data'!A102</f>
        <v>0</v>
      </c>
      <c r="B102">
        <f>'Raw Data'!B102</f>
        <v>0</v>
      </c>
      <c r="C102">
        <f>'Raw Data'!C102</f>
        <v>0</v>
      </c>
      <c r="D102">
        <f>'Raw Data'!D102</f>
        <v>0</v>
      </c>
      <c r="E102">
        <f>'Raw Data'!E102</f>
        <v>0</v>
      </c>
      <c r="F102">
        <f>'Raw Data'!F102</f>
        <v>0</v>
      </c>
      <c r="G102">
        <f>'Raw Data'!G102</f>
        <v>0</v>
      </c>
      <c r="H102">
        <f>'Raw Data'!H102</f>
        <v>0</v>
      </c>
      <c r="I102">
        <f>'Raw Data'!I102</f>
        <v>0</v>
      </c>
      <c r="J102">
        <f>'Raw Data'!J102</f>
        <v>0</v>
      </c>
      <c r="K102">
        <f>'Raw Data'!K102</f>
        <v>0</v>
      </c>
      <c r="L102">
        <f>'Raw Data'!L102</f>
        <v>0</v>
      </c>
      <c r="M102">
        <f>'Raw Data'!M102</f>
        <v>0</v>
      </c>
    </row>
    <row r="103" spans="1:13" x14ac:dyDescent="0.3">
      <c r="A103">
        <f>'Raw Data'!A103</f>
        <v>0</v>
      </c>
      <c r="B103">
        <f>'Raw Data'!B103</f>
        <v>0</v>
      </c>
      <c r="C103">
        <f>'Raw Data'!C103</f>
        <v>0</v>
      </c>
      <c r="D103">
        <f>'Raw Data'!D103</f>
        <v>0</v>
      </c>
      <c r="E103">
        <f>'Raw Data'!E103</f>
        <v>0</v>
      </c>
      <c r="F103">
        <f>'Raw Data'!F103</f>
        <v>0</v>
      </c>
      <c r="G103">
        <f>'Raw Data'!G103</f>
        <v>0</v>
      </c>
      <c r="H103">
        <f>'Raw Data'!H103</f>
        <v>0</v>
      </c>
      <c r="I103">
        <f>'Raw Data'!I103</f>
        <v>0</v>
      </c>
      <c r="J103">
        <f>'Raw Data'!J103</f>
        <v>0</v>
      </c>
      <c r="K103">
        <f>'Raw Data'!K103</f>
        <v>0</v>
      </c>
      <c r="L103">
        <f>'Raw Data'!L103</f>
        <v>0</v>
      </c>
      <c r="M103">
        <f>'Raw Data'!M103</f>
        <v>0</v>
      </c>
    </row>
    <row r="104" spans="1:13" x14ac:dyDescent="0.3">
      <c r="A104">
        <f>'Raw Data'!A104</f>
        <v>0</v>
      </c>
      <c r="B104">
        <f>'Raw Data'!B104</f>
        <v>0</v>
      </c>
      <c r="C104">
        <f>'Raw Data'!C104</f>
        <v>0</v>
      </c>
      <c r="D104">
        <f>'Raw Data'!D104</f>
        <v>0</v>
      </c>
      <c r="E104">
        <f>'Raw Data'!E104</f>
        <v>0</v>
      </c>
      <c r="F104">
        <f>'Raw Data'!F104</f>
        <v>0</v>
      </c>
      <c r="G104">
        <f>'Raw Data'!G104</f>
        <v>0</v>
      </c>
      <c r="H104">
        <f>'Raw Data'!H104</f>
        <v>0</v>
      </c>
      <c r="I104">
        <f>'Raw Data'!I104</f>
        <v>0</v>
      </c>
      <c r="J104">
        <f>'Raw Data'!J104</f>
        <v>0</v>
      </c>
      <c r="K104">
        <f>'Raw Data'!K104</f>
        <v>0</v>
      </c>
      <c r="L104">
        <f>'Raw Data'!L104</f>
        <v>0</v>
      </c>
      <c r="M104">
        <f>'Raw Data'!M104</f>
        <v>0</v>
      </c>
    </row>
    <row r="105" spans="1:13" x14ac:dyDescent="0.3">
      <c r="A105">
        <f>'Raw Data'!A105</f>
        <v>0</v>
      </c>
      <c r="B105">
        <f>'Raw Data'!B105</f>
        <v>0</v>
      </c>
      <c r="C105">
        <f>'Raw Data'!C105</f>
        <v>0</v>
      </c>
      <c r="D105">
        <f>'Raw Data'!D105</f>
        <v>0</v>
      </c>
      <c r="E105">
        <f>'Raw Data'!E105</f>
        <v>0</v>
      </c>
      <c r="F105">
        <f>'Raw Data'!F105</f>
        <v>0</v>
      </c>
      <c r="G105">
        <f>'Raw Data'!G105</f>
        <v>0</v>
      </c>
      <c r="H105">
        <f>'Raw Data'!H105</f>
        <v>0</v>
      </c>
      <c r="I105">
        <f>'Raw Data'!I105</f>
        <v>0</v>
      </c>
      <c r="J105">
        <f>'Raw Data'!J105</f>
        <v>0</v>
      </c>
      <c r="K105">
        <f>'Raw Data'!K105</f>
        <v>0</v>
      </c>
      <c r="L105">
        <f>'Raw Data'!L105</f>
        <v>0</v>
      </c>
      <c r="M105">
        <f>'Raw Data'!M105</f>
        <v>0</v>
      </c>
    </row>
    <row r="106" spans="1:13" x14ac:dyDescent="0.3">
      <c r="A106">
        <f>'Raw Data'!A106</f>
        <v>0</v>
      </c>
      <c r="B106">
        <f>'Raw Data'!B106</f>
        <v>0</v>
      </c>
      <c r="C106">
        <f>'Raw Data'!C106</f>
        <v>0</v>
      </c>
      <c r="D106">
        <f>'Raw Data'!D106</f>
        <v>0</v>
      </c>
      <c r="E106">
        <f>'Raw Data'!E106</f>
        <v>0</v>
      </c>
      <c r="F106">
        <f>'Raw Data'!F106</f>
        <v>0</v>
      </c>
      <c r="G106">
        <f>'Raw Data'!G106</f>
        <v>0</v>
      </c>
      <c r="H106">
        <f>'Raw Data'!H106</f>
        <v>0</v>
      </c>
      <c r="I106">
        <f>'Raw Data'!I106</f>
        <v>0</v>
      </c>
      <c r="J106">
        <f>'Raw Data'!J106</f>
        <v>0</v>
      </c>
      <c r="K106">
        <f>'Raw Data'!K106</f>
        <v>0</v>
      </c>
      <c r="L106">
        <f>'Raw Data'!L106</f>
        <v>0</v>
      </c>
      <c r="M106">
        <f>'Raw Data'!M106</f>
        <v>0</v>
      </c>
    </row>
    <row r="107" spans="1:13" x14ac:dyDescent="0.3">
      <c r="A107">
        <f>'Raw Data'!A107</f>
        <v>0</v>
      </c>
      <c r="B107">
        <f>'Raw Data'!B107</f>
        <v>0</v>
      </c>
      <c r="C107">
        <f>'Raw Data'!C107</f>
        <v>0</v>
      </c>
      <c r="D107">
        <f>'Raw Data'!D107</f>
        <v>0</v>
      </c>
      <c r="E107">
        <f>'Raw Data'!E107</f>
        <v>0</v>
      </c>
      <c r="F107">
        <f>'Raw Data'!F107</f>
        <v>0</v>
      </c>
      <c r="G107">
        <f>'Raw Data'!G107</f>
        <v>0</v>
      </c>
      <c r="H107">
        <f>'Raw Data'!H107</f>
        <v>0</v>
      </c>
      <c r="I107">
        <f>'Raw Data'!I107</f>
        <v>0</v>
      </c>
      <c r="J107">
        <f>'Raw Data'!J107</f>
        <v>0</v>
      </c>
      <c r="K107">
        <f>'Raw Data'!K107</f>
        <v>0</v>
      </c>
      <c r="L107">
        <f>'Raw Data'!L107</f>
        <v>0</v>
      </c>
      <c r="M107">
        <f>'Raw Data'!M107</f>
        <v>0</v>
      </c>
    </row>
    <row r="108" spans="1:13" x14ac:dyDescent="0.3">
      <c r="A108">
        <f>'Raw Data'!A108</f>
        <v>0</v>
      </c>
      <c r="B108">
        <f>'Raw Data'!B108</f>
        <v>0</v>
      </c>
      <c r="C108">
        <f>'Raw Data'!C108</f>
        <v>0</v>
      </c>
      <c r="D108">
        <f>'Raw Data'!D108</f>
        <v>0</v>
      </c>
      <c r="E108">
        <f>'Raw Data'!E108</f>
        <v>0</v>
      </c>
      <c r="F108">
        <f>'Raw Data'!F108</f>
        <v>0</v>
      </c>
      <c r="G108">
        <f>'Raw Data'!G108</f>
        <v>0</v>
      </c>
      <c r="H108">
        <f>'Raw Data'!H108</f>
        <v>0</v>
      </c>
      <c r="I108">
        <f>'Raw Data'!I108</f>
        <v>0</v>
      </c>
      <c r="J108">
        <f>'Raw Data'!J108</f>
        <v>0</v>
      </c>
      <c r="K108">
        <f>'Raw Data'!K108</f>
        <v>0</v>
      </c>
      <c r="L108">
        <f>'Raw Data'!L108</f>
        <v>0</v>
      </c>
      <c r="M108">
        <f>'Raw Data'!M108</f>
        <v>0</v>
      </c>
    </row>
    <row r="109" spans="1:13" x14ac:dyDescent="0.3">
      <c r="A109">
        <f>'Raw Data'!A109</f>
        <v>0</v>
      </c>
      <c r="B109">
        <f>'Raw Data'!B109</f>
        <v>0</v>
      </c>
      <c r="C109">
        <f>'Raw Data'!C109</f>
        <v>0</v>
      </c>
      <c r="D109">
        <f>'Raw Data'!D109</f>
        <v>0</v>
      </c>
      <c r="E109">
        <f>'Raw Data'!E109</f>
        <v>0</v>
      </c>
      <c r="F109">
        <f>'Raw Data'!F109</f>
        <v>0</v>
      </c>
      <c r="G109">
        <f>'Raw Data'!G109</f>
        <v>0</v>
      </c>
      <c r="H109">
        <f>'Raw Data'!H109</f>
        <v>0</v>
      </c>
      <c r="I109">
        <f>'Raw Data'!I109</f>
        <v>0</v>
      </c>
      <c r="J109">
        <f>'Raw Data'!J109</f>
        <v>0</v>
      </c>
      <c r="K109">
        <f>'Raw Data'!K109</f>
        <v>0</v>
      </c>
      <c r="L109">
        <f>'Raw Data'!L109</f>
        <v>0</v>
      </c>
      <c r="M109">
        <f>'Raw Data'!M109</f>
        <v>0</v>
      </c>
    </row>
    <row r="110" spans="1:13" x14ac:dyDescent="0.3">
      <c r="A110">
        <f>'Raw Data'!A110</f>
        <v>0</v>
      </c>
      <c r="B110">
        <f>'Raw Data'!B110</f>
        <v>0</v>
      </c>
      <c r="C110">
        <f>'Raw Data'!C110</f>
        <v>0</v>
      </c>
      <c r="D110">
        <f>'Raw Data'!D110</f>
        <v>0</v>
      </c>
      <c r="E110">
        <f>'Raw Data'!E110</f>
        <v>0</v>
      </c>
      <c r="F110">
        <f>'Raw Data'!F110</f>
        <v>0</v>
      </c>
      <c r="G110">
        <f>'Raw Data'!G110</f>
        <v>0</v>
      </c>
      <c r="H110">
        <f>'Raw Data'!H110</f>
        <v>0</v>
      </c>
      <c r="I110">
        <f>'Raw Data'!I110</f>
        <v>0</v>
      </c>
      <c r="J110">
        <f>'Raw Data'!J110</f>
        <v>0</v>
      </c>
      <c r="K110">
        <f>'Raw Data'!K110</f>
        <v>0</v>
      </c>
      <c r="L110">
        <f>'Raw Data'!L110</f>
        <v>0</v>
      </c>
      <c r="M110">
        <f>'Raw Data'!M110</f>
        <v>0</v>
      </c>
    </row>
    <row r="111" spans="1:13" x14ac:dyDescent="0.3">
      <c r="A111">
        <f>'Raw Data'!A111</f>
        <v>0</v>
      </c>
      <c r="B111">
        <f>'Raw Data'!B111</f>
        <v>0</v>
      </c>
      <c r="C111">
        <f>'Raw Data'!C111</f>
        <v>0</v>
      </c>
      <c r="D111">
        <f>'Raw Data'!D111</f>
        <v>0</v>
      </c>
      <c r="E111">
        <f>'Raw Data'!E111</f>
        <v>0</v>
      </c>
      <c r="F111">
        <f>'Raw Data'!F111</f>
        <v>0</v>
      </c>
      <c r="G111">
        <f>'Raw Data'!G111</f>
        <v>0</v>
      </c>
      <c r="H111">
        <f>'Raw Data'!H111</f>
        <v>0</v>
      </c>
      <c r="I111">
        <f>'Raw Data'!I111</f>
        <v>0</v>
      </c>
      <c r="J111">
        <f>'Raw Data'!J111</f>
        <v>0</v>
      </c>
      <c r="K111">
        <f>'Raw Data'!K111</f>
        <v>0</v>
      </c>
      <c r="L111">
        <f>'Raw Data'!L111</f>
        <v>0</v>
      </c>
      <c r="M111">
        <f>'Raw Data'!M111</f>
        <v>0</v>
      </c>
    </row>
    <row r="112" spans="1:13" x14ac:dyDescent="0.3">
      <c r="A112">
        <f>'Raw Data'!A112</f>
        <v>0</v>
      </c>
      <c r="B112">
        <f>'Raw Data'!B112</f>
        <v>0</v>
      </c>
      <c r="C112">
        <f>'Raw Data'!C112</f>
        <v>0</v>
      </c>
      <c r="D112">
        <f>'Raw Data'!D112</f>
        <v>0</v>
      </c>
      <c r="E112">
        <f>'Raw Data'!E112</f>
        <v>0</v>
      </c>
      <c r="F112">
        <f>'Raw Data'!F112</f>
        <v>0</v>
      </c>
      <c r="G112">
        <f>'Raw Data'!G112</f>
        <v>0</v>
      </c>
      <c r="H112">
        <f>'Raw Data'!H112</f>
        <v>0</v>
      </c>
      <c r="I112">
        <f>'Raw Data'!I112</f>
        <v>0</v>
      </c>
      <c r="J112">
        <f>'Raw Data'!J112</f>
        <v>0</v>
      </c>
      <c r="K112">
        <f>'Raw Data'!K112</f>
        <v>0</v>
      </c>
      <c r="L112">
        <f>'Raw Data'!L112</f>
        <v>0</v>
      </c>
      <c r="M112">
        <f>'Raw Data'!M112</f>
        <v>0</v>
      </c>
    </row>
    <row r="113" spans="1:13" x14ac:dyDescent="0.3">
      <c r="A113">
        <f>'Raw Data'!A113</f>
        <v>0</v>
      </c>
      <c r="B113">
        <f>'Raw Data'!B113</f>
        <v>0</v>
      </c>
      <c r="C113">
        <f>'Raw Data'!C113</f>
        <v>0</v>
      </c>
      <c r="D113">
        <f>'Raw Data'!D113</f>
        <v>0</v>
      </c>
      <c r="E113">
        <f>'Raw Data'!E113</f>
        <v>0</v>
      </c>
      <c r="F113">
        <f>'Raw Data'!F113</f>
        <v>0</v>
      </c>
      <c r="G113">
        <f>'Raw Data'!G113</f>
        <v>0</v>
      </c>
      <c r="H113">
        <f>'Raw Data'!H113</f>
        <v>0</v>
      </c>
      <c r="I113">
        <f>'Raw Data'!I113</f>
        <v>0</v>
      </c>
      <c r="J113">
        <f>'Raw Data'!J113</f>
        <v>0</v>
      </c>
      <c r="K113">
        <f>'Raw Data'!K113</f>
        <v>0</v>
      </c>
      <c r="L113">
        <f>'Raw Data'!L113</f>
        <v>0</v>
      </c>
      <c r="M113">
        <f>'Raw Data'!M113</f>
        <v>0</v>
      </c>
    </row>
    <row r="114" spans="1:13" x14ac:dyDescent="0.3">
      <c r="A114">
        <f>'Raw Data'!A114</f>
        <v>0</v>
      </c>
      <c r="B114">
        <f>'Raw Data'!B114</f>
        <v>0</v>
      </c>
      <c r="C114">
        <f>'Raw Data'!C114</f>
        <v>0</v>
      </c>
      <c r="D114">
        <f>'Raw Data'!D114</f>
        <v>0</v>
      </c>
      <c r="E114">
        <f>'Raw Data'!E114</f>
        <v>0</v>
      </c>
      <c r="F114">
        <f>'Raw Data'!F114</f>
        <v>0</v>
      </c>
      <c r="G114">
        <f>'Raw Data'!G114</f>
        <v>0</v>
      </c>
      <c r="H114">
        <f>'Raw Data'!H114</f>
        <v>0</v>
      </c>
      <c r="I114">
        <f>'Raw Data'!I114</f>
        <v>0</v>
      </c>
      <c r="J114">
        <f>'Raw Data'!J114</f>
        <v>0</v>
      </c>
      <c r="K114">
        <f>'Raw Data'!K114</f>
        <v>0</v>
      </c>
      <c r="L114">
        <f>'Raw Data'!L114</f>
        <v>0</v>
      </c>
      <c r="M114">
        <f>'Raw Data'!M114</f>
        <v>0</v>
      </c>
    </row>
    <row r="115" spans="1:13" x14ac:dyDescent="0.3">
      <c r="A115">
        <f>'Raw Data'!A115</f>
        <v>0</v>
      </c>
      <c r="B115">
        <f>'Raw Data'!B115</f>
        <v>0</v>
      </c>
      <c r="C115">
        <f>'Raw Data'!C115</f>
        <v>0</v>
      </c>
      <c r="D115">
        <f>'Raw Data'!D115</f>
        <v>0</v>
      </c>
      <c r="E115">
        <f>'Raw Data'!E115</f>
        <v>0</v>
      </c>
      <c r="F115">
        <f>'Raw Data'!F115</f>
        <v>0</v>
      </c>
      <c r="G115">
        <f>'Raw Data'!G115</f>
        <v>0</v>
      </c>
      <c r="H115">
        <f>'Raw Data'!H115</f>
        <v>0</v>
      </c>
      <c r="I115">
        <f>'Raw Data'!I115</f>
        <v>0</v>
      </c>
      <c r="J115">
        <f>'Raw Data'!J115</f>
        <v>0</v>
      </c>
      <c r="K115">
        <f>'Raw Data'!K115</f>
        <v>0</v>
      </c>
      <c r="L115">
        <f>'Raw Data'!L115</f>
        <v>0</v>
      </c>
      <c r="M115">
        <f>'Raw Data'!M115</f>
        <v>0</v>
      </c>
    </row>
    <row r="116" spans="1:13" x14ac:dyDescent="0.3">
      <c r="A116">
        <f>'Raw Data'!A116</f>
        <v>0</v>
      </c>
      <c r="B116">
        <f>'Raw Data'!B116</f>
        <v>0</v>
      </c>
      <c r="C116">
        <f>'Raw Data'!C116</f>
        <v>0</v>
      </c>
      <c r="D116">
        <f>'Raw Data'!D116</f>
        <v>0</v>
      </c>
      <c r="E116">
        <f>'Raw Data'!E116</f>
        <v>0</v>
      </c>
      <c r="F116">
        <f>'Raw Data'!F116</f>
        <v>0</v>
      </c>
      <c r="G116">
        <f>'Raw Data'!G116</f>
        <v>0</v>
      </c>
      <c r="H116">
        <f>'Raw Data'!H116</f>
        <v>0</v>
      </c>
      <c r="I116">
        <f>'Raw Data'!I116</f>
        <v>0</v>
      </c>
      <c r="J116">
        <f>'Raw Data'!J116</f>
        <v>0</v>
      </c>
      <c r="K116">
        <f>'Raw Data'!K116</f>
        <v>0</v>
      </c>
      <c r="L116">
        <f>'Raw Data'!L116</f>
        <v>0</v>
      </c>
      <c r="M116">
        <f>'Raw Data'!M116</f>
        <v>0</v>
      </c>
    </row>
    <row r="117" spans="1:13" x14ac:dyDescent="0.3">
      <c r="A117">
        <f>'Raw Data'!A117</f>
        <v>0</v>
      </c>
      <c r="B117">
        <f>'Raw Data'!B117</f>
        <v>0</v>
      </c>
      <c r="C117">
        <f>'Raw Data'!C117</f>
        <v>0</v>
      </c>
      <c r="D117">
        <f>'Raw Data'!D117</f>
        <v>0</v>
      </c>
      <c r="E117">
        <f>'Raw Data'!E117</f>
        <v>0</v>
      </c>
      <c r="F117">
        <f>'Raw Data'!F117</f>
        <v>0</v>
      </c>
      <c r="G117">
        <f>'Raw Data'!G117</f>
        <v>0</v>
      </c>
      <c r="H117">
        <f>'Raw Data'!H117</f>
        <v>0</v>
      </c>
      <c r="I117">
        <f>'Raw Data'!I117</f>
        <v>0</v>
      </c>
      <c r="J117">
        <f>'Raw Data'!J117</f>
        <v>0</v>
      </c>
      <c r="K117">
        <f>'Raw Data'!K117</f>
        <v>0</v>
      </c>
      <c r="L117">
        <f>'Raw Data'!L117</f>
        <v>0</v>
      </c>
      <c r="M117">
        <f>'Raw Data'!M117</f>
        <v>0</v>
      </c>
    </row>
    <row r="118" spans="1:13" x14ac:dyDescent="0.3">
      <c r="A118">
        <f>'Raw Data'!A118</f>
        <v>0</v>
      </c>
      <c r="B118">
        <f>'Raw Data'!B118</f>
        <v>0</v>
      </c>
      <c r="C118">
        <f>'Raw Data'!C118</f>
        <v>0</v>
      </c>
      <c r="D118">
        <f>'Raw Data'!D118</f>
        <v>0</v>
      </c>
      <c r="E118">
        <f>'Raw Data'!E118</f>
        <v>0</v>
      </c>
      <c r="F118">
        <f>'Raw Data'!F118</f>
        <v>0</v>
      </c>
      <c r="G118">
        <f>'Raw Data'!G118</f>
        <v>0</v>
      </c>
      <c r="H118">
        <f>'Raw Data'!H118</f>
        <v>0</v>
      </c>
      <c r="I118">
        <f>'Raw Data'!I118</f>
        <v>0</v>
      </c>
      <c r="J118">
        <f>'Raw Data'!J118</f>
        <v>0</v>
      </c>
      <c r="K118">
        <f>'Raw Data'!K118</f>
        <v>0</v>
      </c>
      <c r="L118">
        <f>'Raw Data'!L118</f>
        <v>0</v>
      </c>
      <c r="M118">
        <f>'Raw Data'!M118</f>
        <v>0</v>
      </c>
    </row>
    <row r="119" spans="1:13" x14ac:dyDescent="0.3">
      <c r="A119">
        <f>'Raw Data'!A119</f>
        <v>0</v>
      </c>
      <c r="B119">
        <f>'Raw Data'!B119</f>
        <v>0</v>
      </c>
      <c r="C119">
        <f>'Raw Data'!C119</f>
        <v>0</v>
      </c>
      <c r="D119">
        <f>'Raw Data'!D119</f>
        <v>0</v>
      </c>
      <c r="E119">
        <f>'Raw Data'!E119</f>
        <v>0</v>
      </c>
      <c r="F119">
        <f>'Raw Data'!F119</f>
        <v>0</v>
      </c>
      <c r="G119">
        <f>'Raw Data'!G119</f>
        <v>0</v>
      </c>
      <c r="H119">
        <f>'Raw Data'!H119</f>
        <v>0</v>
      </c>
      <c r="I119">
        <f>'Raw Data'!I119</f>
        <v>0</v>
      </c>
      <c r="J119">
        <f>'Raw Data'!J119</f>
        <v>0</v>
      </c>
      <c r="K119">
        <f>'Raw Data'!K119</f>
        <v>0</v>
      </c>
      <c r="L119">
        <f>'Raw Data'!L119</f>
        <v>0</v>
      </c>
      <c r="M119">
        <f>'Raw Data'!M119</f>
        <v>0</v>
      </c>
    </row>
    <row r="120" spans="1:13" x14ac:dyDescent="0.3">
      <c r="A120">
        <f>'Raw Data'!A120</f>
        <v>0</v>
      </c>
      <c r="B120">
        <f>'Raw Data'!B120</f>
        <v>0</v>
      </c>
      <c r="C120">
        <f>'Raw Data'!C120</f>
        <v>0</v>
      </c>
      <c r="D120">
        <f>'Raw Data'!D120</f>
        <v>0</v>
      </c>
      <c r="E120">
        <f>'Raw Data'!E120</f>
        <v>0</v>
      </c>
      <c r="F120">
        <f>'Raw Data'!F120</f>
        <v>0</v>
      </c>
      <c r="G120">
        <f>'Raw Data'!G120</f>
        <v>0</v>
      </c>
      <c r="H120">
        <f>'Raw Data'!H120</f>
        <v>0</v>
      </c>
      <c r="I120">
        <f>'Raw Data'!I120</f>
        <v>0</v>
      </c>
      <c r="J120">
        <f>'Raw Data'!J120</f>
        <v>0</v>
      </c>
      <c r="K120">
        <f>'Raw Data'!K120</f>
        <v>0</v>
      </c>
      <c r="L120">
        <f>'Raw Data'!L120</f>
        <v>0</v>
      </c>
      <c r="M120">
        <f>'Raw Data'!M120</f>
        <v>0</v>
      </c>
    </row>
    <row r="121" spans="1:13" x14ac:dyDescent="0.3">
      <c r="A121">
        <f>'Raw Data'!A121</f>
        <v>0</v>
      </c>
      <c r="B121">
        <f>'Raw Data'!B121</f>
        <v>0</v>
      </c>
      <c r="C121">
        <f>'Raw Data'!C121</f>
        <v>0</v>
      </c>
      <c r="D121">
        <f>'Raw Data'!D121</f>
        <v>0</v>
      </c>
      <c r="E121">
        <f>'Raw Data'!E121</f>
        <v>0</v>
      </c>
      <c r="F121">
        <f>'Raw Data'!F121</f>
        <v>0</v>
      </c>
      <c r="G121">
        <f>'Raw Data'!G121</f>
        <v>0</v>
      </c>
      <c r="H121">
        <f>'Raw Data'!H121</f>
        <v>0</v>
      </c>
      <c r="I121">
        <f>'Raw Data'!I121</f>
        <v>0</v>
      </c>
      <c r="J121">
        <f>'Raw Data'!J121</f>
        <v>0</v>
      </c>
      <c r="K121">
        <f>'Raw Data'!K121</f>
        <v>0</v>
      </c>
      <c r="L121">
        <f>'Raw Data'!L121</f>
        <v>0</v>
      </c>
      <c r="M121">
        <f>'Raw Data'!M121</f>
        <v>0</v>
      </c>
    </row>
    <row r="122" spans="1:13" x14ac:dyDescent="0.3">
      <c r="A122">
        <f>'Raw Data'!A122</f>
        <v>0</v>
      </c>
      <c r="B122">
        <f>'Raw Data'!B122</f>
        <v>0</v>
      </c>
      <c r="C122">
        <f>'Raw Data'!C122</f>
        <v>0</v>
      </c>
      <c r="D122">
        <f>'Raw Data'!D122</f>
        <v>0</v>
      </c>
      <c r="E122">
        <f>'Raw Data'!E122</f>
        <v>0</v>
      </c>
      <c r="F122">
        <f>'Raw Data'!F122</f>
        <v>0</v>
      </c>
      <c r="G122">
        <f>'Raw Data'!G122</f>
        <v>0</v>
      </c>
      <c r="H122">
        <f>'Raw Data'!H122</f>
        <v>0</v>
      </c>
      <c r="I122">
        <f>'Raw Data'!I122</f>
        <v>0</v>
      </c>
      <c r="J122">
        <f>'Raw Data'!J122</f>
        <v>0</v>
      </c>
      <c r="K122">
        <f>'Raw Data'!K122</f>
        <v>0</v>
      </c>
      <c r="L122">
        <f>'Raw Data'!L122</f>
        <v>0</v>
      </c>
      <c r="M122">
        <f>'Raw Data'!M122</f>
        <v>0</v>
      </c>
    </row>
    <row r="123" spans="1:13" x14ac:dyDescent="0.3">
      <c r="A123">
        <f>'Raw Data'!A123</f>
        <v>0</v>
      </c>
      <c r="B123">
        <f>'Raw Data'!B123</f>
        <v>0</v>
      </c>
      <c r="C123">
        <f>'Raw Data'!C123</f>
        <v>0</v>
      </c>
      <c r="D123">
        <f>'Raw Data'!D123</f>
        <v>0</v>
      </c>
      <c r="E123">
        <f>'Raw Data'!E123</f>
        <v>0</v>
      </c>
      <c r="F123">
        <f>'Raw Data'!F123</f>
        <v>0</v>
      </c>
      <c r="G123">
        <f>'Raw Data'!G123</f>
        <v>0</v>
      </c>
      <c r="H123">
        <f>'Raw Data'!H123</f>
        <v>0</v>
      </c>
      <c r="I123">
        <f>'Raw Data'!I123</f>
        <v>0</v>
      </c>
      <c r="J123">
        <f>'Raw Data'!J123</f>
        <v>0</v>
      </c>
      <c r="K123">
        <f>'Raw Data'!K123</f>
        <v>0</v>
      </c>
      <c r="L123">
        <f>'Raw Data'!L123</f>
        <v>0</v>
      </c>
      <c r="M123">
        <f>'Raw Data'!M123</f>
        <v>0</v>
      </c>
    </row>
    <row r="124" spans="1:13" x14ac:dyDescent="0.3">
      <c r="A124">
        <f>'Raw Data'!A124</f>
        <v>0</v>
      </c>
      <c r="B124">
        <f>'Raw Data'!B124</f>
        <v>0</v>
      </c>
      <c r="C124">
        <f>'Raw Data'!C124</f>
        <v>0</v>
      </c>
      <c r="D124">
        <f>'Raw Data'!D124</f>
        <v>0</v>
      </c>
      <c r="E124">
        <f>'Raw Data'!E124</f>
        <v>0</v>
      </c>
      <c r="F124">
        <f>'Raw Data'!F124</f>
        <v>0</v>
      </c>
      <c r="G124">
        <f>'Raw Data'!G124</f>
        <v>0</v>
      </c>
      <c r="H124">
        <f>'Raw Data'!H124</f>
        <v>0</v>
      </c>
      <c r="I124">
        <f>'Raw Data'!I124</f>
        <v>0</v>
      </c>
      <c r="J124">
        <f>'Raw Data'!J124</f>
        <v>0</v>
      </c>
      <c r="K124">
        <f>'Raw Data'!K124</f>
        <v>0</v>
      </c>
      <c r="L124">
        <f>'Raw Data'!L124</f>
        <v>0</v>
      </c>
      <c r="M124">
        <f>'Raw Data'!M124</f>
        <v>0</v>
      </c>
    </row>
    <row r="125" spans="1:13" x14ac:dyDescent="0.3">
      <c r="A125">
        <f>'Raw Data'!A125</f>
        <v>0</v>
      </c>
      <c r="B125">
        <f>'Raw Data'!B125</f>
        <v>0</v>
      </c>
      <c r="C125">
        <f>'Raw Data'!C125</f>
        <v>0</v>
      </c>
      <c r="D125">
        <f>'Raw Data'!D125</f>
        <v>0</v>
      </c>
      <c r="E125">
        <f>'Raw Data'!E125</f>
        <v>0</v>
      </c>
      <c r="F125">
        <f>'Raw Data'!F125</f>
        <v>0</v>
      </c>
      <c r="G125">
        <f>'Raw Data'!G125</f>
        <v>0</v>
      </c>
      <c r="H125">
        <f>'Raw Data'!H125</f>
        <v>0</v>
      </c>
      <c r="I125">
        <f>'Raw Data'!I125</f>
        <v>0</v>
      </c>
      <c r="J125">
        <f>'Raw Data'!J125</f>
        <v>0</v>
      </c>
      <c r="K125">
        <f>'Raw Data'!K125</f>
        <v>0</v>
      </c>
      <c r="L125">
        <f>'Raw Data'!L125</f>
        <v>0</v>
      </c>
      <c r="M125">
        <f>'Raw Data'!M125</f>
        <v>0</v>
      </c>
    </row>
    <row r="126" spans="1:13" x14ac:dyDescent="0.3">
      <c r="A126">
        <f>'Raw Data'!A126</f>
        <v>0</v>
      </c>
      <c r="B126">
        <f>'Raw Data'!B126</f>
        <v>0</v>
      </c>
      <c r="C126">
        <f>'Raw Data'!C126</f>
        <v>0</v>
      </c>
      <c r="D126">
        <f>'Raw Data'!D126</f>
        <v>0</v>
      </c>
      <c r="E126">
        <f>'Raw Data'!E126</f>
        <v>0</v>
      </c>
      <c r="F126">
        <f>'Raw Data'!F126</f>
        <v>0</v>
      </c>
      <c r="G126">
        <f>'Raw Data'!G126</f>
        <v>0</v>
      </c>
      <c r="H126">
        <f>'Raw Data'!H126</f>
        <v>0</v>
      </c>
      <c r="I126">
        <f>'Raw Data'!I126</f>
        <v>0</v>
      </c>
      <c r="J126">
        <f>'Raw Data'!J126</f>
        <v>0</v>
      </c>
      <c r="K126">
        <f>'Raw Data'!K126</f>
        <v>0</v>
      </c>
      <c r="L126">
        <f>'Raw Data'!L126</f>
        <v>0</v>
      </c>
      <c r="M126">
        <f>'Raw Data'!M126</f>
        <v>0</v>
      </c>
    </row>
    <row r="127" spans="1:13" x14ac:dyDescent="0.3">
      <c r="A127">
        <f>'Raw Data'!A127</f>
        <v>0</v>
      </c>
      <c r="B127">
        <f>'Raw Data'!B127</f>
        <v>0</v>
      </c>
      <c r="C127">
        <f>'Raw Data'!C127</f>
        <v>0</v>
      </c>
      <c r="D127">
        <f>'Raw Data'!D127</f>
        <v>0</v>
      </c>
      <c r="E127">
        <f>'Raw Data'!E127</f>
        <v>0</v>
      </c>
      <c r="F127">
        <f>'Raw Data'!F127</f>
        <v>0</v>
      </c>
      <c r="G127">
        <f>'Raw Data'!G127</f>
        <v>0</v>
      </c>
      <c r="H127">
        <f>'Raw Data'!H127</f>
        <v>0</v>
      </c>
      <c r="I127">
        <f>'Raw Data'!I127</f>
        <v>0</v>
      </c>
      <c r="J127">
        <f>'Raw Data'!J127</f>
        <v>0</v>
      </c>
      <c r="K127">
        <f>'Raw Data'!K127</f>
        <v>0</v>
      </c>
      <c r="L127">
        <f>'Raw Data'!L127</f>
        <v>0</v>
      </c>
      <c r="M127">
        <f>'Raw Data'!M127</f>
        <v>0</v>
      </c>
    </row>
    <row r="128" spans="1:13" x14ac:dyDescent="0.3">
      <c r="A128">
        <f>'Raw Data'!A128</f>
        <v>0</v>
      </c>
      <c r="B128">
        <f>'Raw Data'!B128</f>
        <v>0</v>
      </c>
      <c r="C128">
        <f>'Raw Data'!C128</f>
        <v>0</v>
      </c>
      <c r="D128">
        <f>'Raw Data'!D128</f>
        <v>0</v>
      </c>
      <c r="E128">
        <f>'Raw Data'!E128</f>
        <v>0</v>
      </c>
      <c r="F128">
        <f>'Raw Data'!F128</f>
        <v>0</v>
      </c>
      <c r="G128">
        <f>'Raw Data'!G128</f>
        <v>0</v>
      </c>
      <c r="H128">
        <f>'Raw Data'!H128</f>
        <v>0</v>
      </c>
      <c r="I128">
        <f>'Raw Data'!I128</f>
        <v>0</v>
      </c>
      <c r="J128">
        <f>'Raw Data'!J128</f>
        <v>0</v>
      </c>
      <c r="K128">
        <f>'Raw Data'!K128</f>
        <v>0</v>
      </c>
      <c r="L128">
        <f>'Raw Data'!L128</f>
        <v>0</v>
      </c>
      <c r="M128">
        <f>'Raw Data'!M128</f>
        <v>0</v>
      </c>
    </row>
    <row r="129" spans="1:13" x14ac:dyDescent="0.3">
      <c r="A129">
        <f>'Raw Data'!A129</f>
        <v>0</v>
      </c>
      <c r="B129">
        <f>'Raw Data'!B129</f>
        <v>0</v>
      </c>
      <c r="C129">
        <f>'Raw Data'!C129</f>
        <v>0</v>
      </c>
      <c r="D129">
        <f>'Raw Data'!D129</f>
        <v>0</v>
      </c>
      <c r="E129">
        <f>'Raw Data'!E129</f>
        <v>0</v>
      </c>
      <c r="F129">
        <f>'Raw Data'!F129</f>
        <v>0</v>
      </c>
      <c r="G129">
        <f>'Raw Data'!G129</f>
        <v>0</v>
      </c>
      <c r="H129">
        <f>'Raw Data'!H129</f>
        <v>0</v>
      </c>
      <c r="I129">
        <f>'Raw Data'!I129</f>
        <v>0</v>
      </c>
      <c r="J129">
        <f>'Raw Data'!J129</f>
        <v>0</v>
      </c>
      <c r="K129">
        <f>'Raw Data'!K129</f>
        <v>0</v>
      </c>
      <c r="L129">
        <f>'Raw Data'!L129</f>
        <v>0</v>
      </c>
      <c r="M129">
        <f>'Raw Data'!M129</f>
        <v>0</v>
      </c>
    </row>
    <row r="130" spans="1:13" x14ac:dyDescent="0.3">
      <c r="A130">
        <f>'Raw Data'!A130</f>
        <v>0</v>
      </c>
      <c r="B130">
        <f>'Raw Data'!B130</f>
        <v>0</v>
      </c>
      <c r="C130">
        <f>'Raw Data'!C130</f>
        <v>0</v>
      </c>
      <c r="D130">
        <f>'Raw Data'!D130</f>
        <v>0</v>
      </c>
      <c r="E130">
        <f>'Raw Data'!E130</f>
        <v>0</v>
      </c>
      <c r="F130">
        <f>'Raw Data'!F130</f>
        <v>0</v>
      </c>
      <c r="G130">
        <f>'Raw Data'!G130</f>
        <v>0</v>
      </c>
      <c r="H130">
        <f>'Raw Data'!H130</f>
        <v>0</v>
      </c>
      <c r="I130">
        <f>'Raw Data'!I130</f>
        <v>0</v>
      </c>
      <c r="J130">
        <f>'Raw Data'!J130</f>
        <v>0</v>
      </c>
      <c r="K130">
        <f>'Raw Data'!K130</f>
        <v>0</v>
      </c>
      <c r="L130">
        <f>'Raw Data'!L130</f>
        <v>0</v>
      </c>
      <c r="M130">
        <f>'Raw Data'!M130</f>
        <v>0</v>
      </c>
    </row>
    <row r="131" spans="1:13" x14ac:dyDescent="0.3">
      <c r="A131">
        <f>'Raw Data'!A131</f>
        <v>0</v>
      </c>
      <c r="B131">
        <f>'Raw Data'!B131</f>
        <v>0</v>
      </c>
      <c r="C131">
        <f>'Raw Data'!C131</f>
        <v>0</v>
      </c>
      <c r="D131">
        <f>'Raw Data'!D131</f>
        <v>0</v>
      </c>
      <c r="E131">
        <f>'Raw Data'!E131</f>
        <v>0</v>
      </c>
      <c r="F131">
        <f>'Raw Data'!F131</f>
        <v>0</v>
      </c>
      <c r="G131">
        <f>'Raw Data'!G131</f>
        <v>0</v>
      </c>
      <c r="H131">
        <f>'Raw Data'!H131</f>
        <v>0</v>
      </c>
      <c r="I131">
        <f>'Raw Data'!I131</f>
        <v>0</v>
      </c>
      <c r="J131">
        <f>'Raw Data'!J131</f>
        <v>0</v>
      </c>
      <c r="K131">
        <f>'Raw Data'!K131</f>
        <v>0</v>
      </c>
      <c r="L131">
        <f>'Raw Data'!L131</f>
        <v>0</v>
      </c>
      <c r="M131">
        <f>'Raw Data'!M131</f>
        <v>0</v>
      </c>
    </row>
    <row r="132" spans="1:13" x14ac:dyDescent="0.3">
      <c r="A132">
        <f>'Raw Data'!A132</f>
        <v>0</v>
      </c>
      <c r="B132">
        <f>'Raw Data'!B132</f>
        <v>0</v>
      </c>
      <c r="C132">
        <f>'Raw Data'!C132</f>
        <v>0</v>
      </c>
      <c r="D132">
        <f>'Raw Data'!D132</f>
        <v>0</v>
      </c>
      <c r="E132">
        <f>'Raw Data'!E132</f>
        <v>0</v>
      </c>
      <c r="F132">
        <f>'Raw Data'!F132</f>
        <v>0</v>
      </c>
      <c r="G132">
        <f>'Raw Data'!G132</f>
        <v>0</v>
      </c>
      <c r="H132">
        <f>'Raw Data'!H132</f>
        <v>0</v>
      </c>
      <c r="I132">
        <f>'Raw Data'!I132</f>
        <v>0</v>
      </c>
      <c r="J132">
        <f>'Raw Data'!J132</f>
        <v>0</v>
      </c>
      <c r="K132">
        <f>'Raw Data'!K132</f>
        <v>0</v>
      </c>
      <c r="L132">
        <f>'Raw Data'!L132</f>
        <v>0</v>
      </c>
      <c r="M132">
        <f>'Raw Data'!M132</f>
        <v>0</v>
      </c>
    </row>
    <row r="133" spans="1:13" x14ac:dyDescent="0.3">
      <c r="A133">
        <f>'Raw Data'!A133</f>
        <v>0</v>
      </c>
      <c r="B133">
        <f>'Raw Data'!B133</f>
        <v>0</v>
      </c>
      <c r="C133">
        <f>'Raw Data'!C133</f>
        <v>0</v>
      </c>
      <c r="D133">
        <f>'Raw Data'!D133</f>
        <v>0</v>
      </c>
      <c r="E133">
        <f>'Raw Data'!E133</f>
        <v>0</v>
      </c>
      <c r="F133">
        <f>'Raw Data'!F133</f>
        <v>0</v>
      </c>
      <c r="G133">
        <f>'Raw Data'!G133</f>
        <v>0</v>
      </c>
      <c r="H133">
        <f>'Raw Data'!H133</f>
        <v>0</v>
      </c>
      <c r="I133">
        <f>'Raw Data'!I133</f>
        <v>0</v>
      </c>
      <c r="J133">
        <f>'Raw Data'!J133</f>
        <v>0</v>
      </c>
      <c r="K133">
        <f>'Raw Data'!K133</f>
        <v>0</v>
      </c>
      <c r="L133">
        <f>'Raw Data'!L133</f>
        <v>0</v>
      </c>
      <c r="M133">
        <f>'Raw Data'!M133</f>
        <v>0</v>
      </c>
    </row>
    <row r="134" spans="1:13" x14ac:dyDescent="0.3">
      <c r="A134">
        <f>'Raw Data'!A134</f>
        <v>0</v>
      </c>
      <c r="B134">
        <f>'Raw Data'!B134</f>
        <v>0</v>
      </c>
      <c r="C134">
        <f>'Raw Data'!C134</f>
        <v>0</v>
      </c>
      <c r="D134">
        <f>'Raw Data'!D134</f>
        <v>0</v>
      </c>
      <c r="E134">
        <f>'Raw Data'!E134</f>
        <v>0</v>
      </c>
      <c r="F134">
        <f>'Raw Data'!F134</f>
        <v>0</v>
      </c>
      <c r="G134">
        <f>'Raw Data'!G134</f>
        <v>0</v>
      </c>
      <c r="H134">
        <f>'Raw Data'!H134</f>
        <v>0</v>
      </c>
      <c r="I134">
        <f>'Raw Data'!I134</f>
        <v>0</v>
      </c>
      <c r="J134">
        <f>'Raw Data'!J134</f>
        <v>0</v>
      </c>
      <c r="K134">
        <f>'Raw Data'!K134</f>
        <v>0</v>
      </c>
      <c r="L134">
        <f>'Raw Data'!L134</f>
        <v>0</v>
      </c>
      <c r="M134">
        <f>'Raw Data'!M134</f>
        <v>0</v>
      </c>
    </row>
    <row r="135" spans="1:13" x14ac:dyDescent="0.3">
      <c r="A135">
        <f>'Raw Data'!A135</f>
        <v>0</v>
      </c>
      <c r="B135">
        <f>'Raw Data'!B135</f>
        <v>0</v>
      </c>
      <c r="C135">
        <f>'Raw Data'!C135</f>
        <v>0</v>
      </c>
      <c r="D135">
        <f>'Raw Data'!D135</f>
        <v>0</v>
      </c>
      <c r="E135">
        <f>'Raw Data'!E135</f>
        <v>0</v>
      </c>
      <c r="F135">
        <f>'Raw Data'!F135</f>
        <v>0</v>
      </c>
      <c r="G135">
        <f>'Raw Data'!G135</f>
        <v>0</v>
      </c>
      <c r="H135">
        <f>'Raw Data'!H135</f>
        <v>0</v>
      </c>
      <c r="I135">
        <f>'Raw Data'!I135</f>
        <v>0</v>
      </c>
      <c r="J135">
        <f>'Raw Data'!J135</f>
        <v>0</v>
      </c>
      <c r="K135">
        <f>'Raw Data'!K135</f>
        <v>0</v>
      </c>
      <c r="L135">
        <f>'Raw Data'!L135</f>
        <v>0</v>
      </c>
      <c r="M135">
        <f>'Raw Data'!M135</f>
        <v>0</v>
      </c>
    </row>
    <row r="136" spans="1:13" x14ac:dyDescent="0.3">
      <c r="A136">
        <f>'Raw Data'!A136</f>
        <v>0</v>
      </c>
      <c r="B136">
        <f>'Raw Data'!B136</f>
        <v>0</v>
      </c>
      <c r="C136">
        <f>'Raw Data'!C136</f>
        <v>0</v>
      </c>
      <c r="D136">
        <f>'Raw Data'!D136</f>
        <v>0</v>
      </c>
      <c r="E136">
        <f>'Raw Data'!E136</f>
        <v>0</v>
      </c>
      <c r="F136">
        <f>'Raw Data'!F136</f>
        <v>0</v>
      </c>
      <c r="G136">
        <f>'Raw Data'!G136</f>
        <v>0</v>
      </c>
      <c r="H136">
        <f>'Raw Data'!H136</f>
        <v>0</v>
      </c>
      <c r="I136">
        <f>'Raw Data'!I136</f>
        <v>0</v>
      </c>
      <c r="J136">
        <f>'Raw Data'!J136</f>
        <v>0</v>
      </c>
      <c r="K136">
        <f>'Raw Data'!K136</f>
        <v>0</v>
      </c>
      <c r="L136">
        <f>'Raw Data'!L136</f>
        <v>0</v>
      </c>
      <c r="M136">
        <f>'Raw Data'!M136</f>
        <v>0</v>
      </c>
    </row>
    <row r="137" spans="1:13" x14ac:dyDescent="0.3">
      <c r="A137">
        <f>'Raw Data'!A137</f>
        <v>0</v>
      </c>
      <c r="B137">
        <f>'Raw Data'!B137</f>
        <v>0</v>
      </c>
      <c r="C137">
        <f>'Raw Data'!C137</f>
        <v>0</v>
      </c>
      <c r="D137">
        <f>'Raw Data'!D137</f>
        <v>0</v>
      </c>
      <c r="E137">
        <f>'Raw Data'!E137</f>
        <v>0</v>
      </c>
      <c r="F137">
        <f>'Raw Data'!F137</f>
        <v>0</v>
      </c>
      <c r="G137">
        <f>'Raw Data'!G137</f>
        <v>0</v>
      </c>
      <c r="H137">
        <f>'Raw Data'!H137</f>
        <v>0</v>
      </c>
      <c r="I137">
        <f>'Raw Data'!I137</f>
        <v>0</v>
      </c>
      <c r="J137">
        <f>'Raw Data'!J137</f>
        <v>0</v>
      </c>
      <c r="K137">
        <f>'Raw Data'!K137</f>
        <v>0</v>
      </c>
      <c r="L137">
        <f>'Raw Data'!L137</f>
        <v>0</v>
      </c>
      <c r="M137">
        <f>'Raw Data'!M137</f>
        <v>0</v>
      </c>
    </row>
    <row r="138" spans="1:13" x14ac:dyDescent="0.3">
      <c r="A138">
        <f>'Raw Data'!A138</f>
        <v>0</v>
      </c>
      <c r="B138">
        <f>'Raw Data'!B138</f>
        <v>0</v>
      </c>
      <c r="C138">
        <f>'Raw Data'!C138</f>
        <v>0</v>
      </c>
      <c r="D138">
        <f>'Raw Data'!D138</f>
        <v>0</v>
      </c>
      <c r="E138">
        <f>'Raw Data'!E138</f>
        <v>0</v>
      </c>
      <c r="F138">
        <f>'Raw Data'!F138</f>
        <v>0</v>
      </c>
      <c r="G138">
        <f>'Raw Data'!G138</f>
        <v>0</v>
      </c>
      <c r="H138">
        <f>'Raw Data'!H138</f>
        <v>0</v>
      </c>
      <c r="I138">
        <f>'Raw Data'!I138</f>
        <v>0</v>
      </c>
      <c r="J138">
        <f>'Raw Data'!J138</f>
        <v>0</v>
      </c>
      <c r="K138">
        <f>'Raw Data'!K138</f>
        <v>0</v>
      </c>
      <c r="L138">
        <f>'Raw Data'!L138</f>
        <v>0</v>
      </c>
      <c r="M138">
        <f>'Raw Data'!M138</f>
        <v>0</v>
      </c>
    </row>
    <row r="139" spans="1:13" x14ac:dyDescent="0.3">
      <c r="A139">
        <f>'Raw Data'!A139</f>
        <v>0</v>
      </c>
      <c r="B139">
        <f>'Raw Data'!B139</f>
        <v>0</v>
      </c>
      <c r="C139">
        <f>'Raw Data'!C139</f>
        <v>0</v>
      </c>
      <c r="D139">
        <f>'Raw Data'!D139</f>
        <v>0</v>
      </c>
      <c r="E139">
        <f>'Raw Data'!E139</f>
        <v>0</v>
      </c>
      <c r="F139">
        <f>'Raw Data'!F139</f>
        <v>0</v>
      </c>
      <c r="G139">
        <f>'Raw Data'!G139</f>
        <v>0</v>
      </c>
      <c r="H139">
        <f>'Raw Data'!H139</f>
        <v>0</v>
      </c>
      <c r="I139">
        <f>'Raw Data'!I139</f>
        <v>0</v>
      </c>
      <c r="J139">
        <f>'Raw Data'!J139</f>
        <v>0</v>
      </c>
      <c r="K139">
        <f>'Raw Data'!K139</f>
        <v>0</v>
      </c>
      <c r="L139">
        <f>'Raw Data'!L139</f>
        <v>0</v>
      </c>
      <c r="M139">
        <f>'Raw Data'!M139</f>
        <v>0</v>
      </c>
    </row>
    <row r="140" spans="1:13" x14ac:dyDescent="0.3">
      <c r="A140">
        <f>'Raw Data'!A140</f>
        <v>0</v>
      </c>
      <c r="B140">
        <f>'Raw Data'!B140</f>
        <v>0</v>
      </c>
      <c r="C140">
        <f>'Raw Data'!C140</f>
        <v>0</v>
      </c>
      <c r="D140">
        <f>'Raw Data'!D140</f>
        <v>0</v>
      </c>
      <c r="E140">
        <f>'Raw Data'!E140</f>
        <v>0</v>
      </c>
      <c r="F140">
        <f>'Raw Data'!F140</f>
        <v>0</v>
      </c>
      <c r="G140">
        <f>'Raw Data'!G140</f>
        <v>0</v>
      </c>
      <c r="H140">
        <f>'Raw Data'!H140</f>
        <v>0</v>
      </c>
      <c r="I140">
        <f>'Raw Data'!I140</f>
        <v>0</v>
      </c>
      <c r="J140">
        <f>'Raw Data'!J140</f>
        <v>0</v>
      </c>
      <c r="K140">
        <f>'Raw Data'!K140</f>
        <v>0</v>
      </c>
      <c r="L140">
        <f>'Raw Data'!L140</f>
        <v>0</v>
      </c>
      <c r="M140">
        <f>'Raw Data'!M140</f>
        <v>0</v>
      </c>
    </row>
    <row r="141" spans="1:13" x14ac:dyDescent="0.3">
      <c r="A141">
        <f>'Raw Data'!A141</f>
        <v>0</v>
      </c>
      <c r="B141">
        <f>'Raw Data'!B141</f>
        <v>0</v>
      </c>
      <c r="C141">
        <f>'Raw Data'!C141</f>
        <v>0</v>
      </c>
      <c r="D141">
        <f>'Raw Data'!D141</f>
        <v>0</v>
      </c>
      <c r="E141">
        <f>'Raw Data'!E141</f>
        <v>0</v>
      </c>
      <c r="F141">
        <f>'Raw Data'!F141</f>
        <v>0</v>
      </c>
      <c r="G141">
        <f>'Raw Data'!G141</f>
        <v>0</v>
      </c>
      <c r="H141">
        <f>'Raw Data'!H141</f>
        <v>0</v>
      </c>
      <c r="I141">
        <f>'Raw Data'!I141</f>
        <v>0</v>
      </c>
      <c r="J141">
        <f>'Raw Data'!J141</f>
        <v>0</v>
      </c>
      <c r="K141">
        <f>'Raw Data'!K141</f>
        <v>0</v>
      </c>
      <c r="L141">
        <f>'Raw Data'!L141</f>
        <v>0</v>
      </c>
      <c r="M141">
        <f>'Raw Data'!M141</f>
        <v>0</v>
      </c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4"/>
  <sheetViews>
    <sheetView zoomScaleNormal="100" workbookViewId="0">
      <selection activeCell="Y14" sqref="Y14"/>
    </sheetView>
  </sheetViews>
  <sheetFormatPr defaultColWidth="8.6640625" defaultRowHeight="14.4" x14ac:dyDescent="0.3"/>
  <cols>
    <col min="1" max="1" width="18" style="18" customWidth="1"/>
    <col min="2" max="9" width="8" style="18" customWidth="1"/>
    <col min="10" max="12" width="11" style="18" customWidth="1"/>
  </cols>
  <sheetData>
    <row r="1" spans="1:21" ht="25.5" customHeight="1" x14ac:dyDescent="0.3">
      <c r="A1" s="24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0"/>
      <c r="M1" t="s">
        <v>54</v>
      </c>
    </row>
    <row r="2" spans="1:21" ht="13.5" customHeight="1" x14ac:dyDescent="0.3">
      <c r="A2" s="21" t="s">
        <v>55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11" t="s">
        <v>56</v>
      </c>
      <c r="N2" t="s">
        <v>57</v>
      </c>
    </row>
    <row r="3" spans="1:21" ht="19.5" customHeight="1" x14ac:dyDescent="0.3">
      <c r="A3" s="19" t="s">
        <v>58</v>
      </c>
      <c r="B3" s="19" t="s">
        <v>14</v>
      </c>
      <c r="C3" s="20"/>
      <c r="D3" s="19" t="s">
        <v>15</v>
      </c>
      <c r="E3" s="20"/>
      <c r="F3" s="19" t="s">
        <v>16</v>
      </c>
      <c r="G3" s="20"/>
      <c r="H3" s="19" t="s">
        <v>17</v>
      </c>
      <c r="I3" s="20"/>
      <c r="J3" s="2" t="s">
        <v>59</v>
      </c>
      <c r="K3" s="3" t="s">
        <v>60</v>
      </c>
      <c r="L3" s="4" t="s">
        <v>61</v>
      </c>
      <c r="M3" s="2" t="s">
        <v>62</v>
      </c>
      <c r="N3" t="s">
        <v>63</v>
      </c>
    </row>
    <row r="4" spans="1:21" ht="18" customHeight="1" x14ac:dyDescent="0.3">
      <c r="A4" s="23"/>
      <c r="B4" s="2" t="s">
        <v>64</v>
      </c>
      <c r="C4" s="3" t="s">
        <v>51</v>
      </c>
      <c r="D4" s="2" t="s">
        <v>64</v>
      </c>
      <c r="E4" s="3" t="s">
        <v>51</v>
      </c>
      <c r="F4" s="2" t="s">
        <v>64</v>
      </c>
      <c r="G4" s="3" t="s">
        <v>51</v>
      </c>
      <c r="H4" s="2" t="s">
        <v>64</v>
      </c>
      <c r="I4" s="3" t="s">
        <v>51</v>
      </c>
      <c r="J4" s="5" t="s">
        <v>65</v>
      </c>
      <c r="K4" s="5" t="s">
        <v>65</v>
      </c>
      <c r="L4" s="5" t="s">
        <v>65</v>
      </c>
      <c r="M4" s="3" t="s">
        <v>66</v>
      </c>
      <c r="N4" t="s">
        <v>67</v>
      </c>
    </row>
    <row r="5" spans="1:21" ht="15.75" customHeight="1" x14ac:dyDescent="0.3">
      <c r="A5" s="6" t="str">
        <f>IFERROR(INDEX('Raw Data'!$A$2:$A$200,_xlfn.AGGREGATE(15,6,(ROW('Raw Data'!$A$2:$A$200)-ROW('Raw Data'!$A$2)+1)/((COUNTIF($A$4:A4,'Raw Data'!$A$2:$A$200)=0)*('Raw Data'!$A$2:$A$200&lt;&gt;"")),1)),"")</f>
        <v/>
      </c>
      <c r="B5" s="7" t="str">
        <f>IF($A5="","",SUMIFS('Raw Data'!$F:$F,'Raw Data'!$A:$A,$A5,'Raw Data'!$E:$E,B$3))</f>
        <v/>
      </c>
      <c r="C5" s="8" t="str">
        <f>IF($A5="","",SUMIFS('Raw Data'!$J:$J,'Raw Data'!$A:$A,$A5,'Raw Data'!$E:$E,B$3))</f>
        <v/>
      </c>
      <c r="D5" s="7" t="str">
        <f>IF($A5="","",SUMIFS('Raw Data'!$F:$F,'Raw Data'!$A:$A,$A5,'Raw Data'!$E:$E,D$3))</f>
        <v/>
      </c>
      <c r="E5" s="8" t="str">
        <f>IF($A5="","",SUMIFS('Raw Data'!$J:$J,'Raw Data'!$A:$A,$A5,'Raw Data'!$E:$E,D$3))</f>
        <v/>
      </c>
      <c r="F5" s="7" t="str">
        <f>IF($A5="","",SUMIFS('Raw Data'!$F:$F,'Raw Data'!$A:$A,$A5,'Raw Data'!$E:$E,F$3))</f>
        <v/>
      </c>
      <c r="G5" s="8" t="str">
        <f>IF($A5="","",SUMIFS('Raw Data'!$J:$J,'Raw Data'!$A:$A,$A5,'Raw Data'!$E:$E,F$3))</f>
        <v/>
      </c>
      <c r="H5" s="7" t="str">
        <f>IF($A5="","",SUMIFS('Raw Data'!$F:$F,'Raw Data'!$A:$A,$A5,'Raw Data'!$E:$E,H$3))</f>
        <v/>
      </c>
      <c r="I5" s="8" t="str">
        <f>IF($A5="","",SUMIFS('Raw Data'!$J:$J,'Raw Data'!$A:$A,$A5,'Raw Data'!$E:$E,H$3))</f>
        <v/>
      </c>
      <c r="J5" s="9" t="str">
        <f t="shared" ref="J5:J36" si="0">IF($A5="","",B5+D5+F5+H5)</f>
        <v/>
      </c>
      <c r="K5" s="10" t="str">
        <f t="shared" ref="K5:K36" si="1">IF($A5="","",C5+E5+G5+I5)</f>
        <v/>
      </c>
      <c r="L5" s="5" t="str">
        <f t="shared" ref="L5:L36" si="2">IF($A5="","",J5+K5)</f>
        <v/>
      </c>
      <c r="P5" s="12"/>
      <c r="Q5" s="12">
        <v>1270</v>
      </c>
      <c r="R5" s="12">
        <v>1290</v>
      </c>
      <c r="S5" s="12">
        <v>1310</v>
      </c>
      <c r="T5" s="12">
        <v>1330</v>
      </c>
      <c r="U5" s="12"/>
    </row>
    <row r="6" spans="1:21" ht="15.75" customHeight="1" x14ac:dyDescent="0.3">
      <c r="A6" s="6" t="str">
        <f>IFERROR(INDEX('Raw Data'!$A$2:$A$200,_xlfn.AGGREGATE(15,6,(ROW('Raw Data'!$A$2:$A$200)-ROW('Raw Data'!$A$2)+1)/((COUNTIF($A$4:A5,'Raw Data'!$A$2:$A$200)=0)*('Raw Data'!$A$2:$A$200&lt;&gt;"")),1)),"")</f>
        <v/>
      </c>
      <c r="B6" s="7" t="str">
        <f>IF($A6="","",SUMIFS('Raw Data'!$F:$F,'Raw Data'!$A:$A,$A6,'Raw Data'!$E:$E,B$3))</f>
        <v/>
      </c>
      <c r="C6" s="8" t="str">
        <f>IF($A6="","",SUMIFS('Raw Data'!$J:$J,'Raw Data'!$A:$A,$A6,'Raw Data'!$E:$E,B$3))</f>
        <v/>
      </c>
      <c r="D6" s="7" t="str">
        <f>IF($A6="","",SUMIFS('Raw Data'!$F:$F,'Raw Data'!$A:$A,$A6,'Raw Data'!$E:$E,D$3))</f>
        <v/>
      </c>
      <c r="E6" s="8" t="str">
        <f>IF($A6="","",SUMIFS('Raw Data'!$J:$J,'Raw Data'!$A:$A,$A6,'Raw Data'!$E:$E,D$3))</f>
        <v/>
      </c>
      <c r="F6" s="7" t="str">
        <f>IF($A6="","",SUMIFS('Raw Data'!$F:$F,'Raw Data'!$A:$A,$A6,'Raw Data'!$E:$E,F$3))</f>
        <v/>
      </c>
      <c r="G6" s="8" t="str">
        <f>IF($A6="","",SUMIFS('Raw Data'!$J:$J,'Raw Data'!$A:$A,$A6,'Raw Data'!$E:$E,F$3))</f>
        <v/>
      </c>
      <c r="H6" s="7" t="str">
        <f>IF($A6="","",SUMIFS('Raw Data'!$F:$F,'Raw Data'!$A:$A,$A6,'Raw Data'!$E:$E,H$3))</f>
        <v/>
      </c>
      <c r="I6" s="8" t="str">
        <f>IF($A6="","",SUMIFS('Raw Data'!$J:$J,'Raw Data'!$A:$A,$A6,'Raw Data'!$E:$E,H$3))</f>
        <v/>
      </c>
      <c r="J6" s="9" t="str">
        <f t="shared" si="0"/>
        <v/>
      </c>
      <c r="K6" s="10" t="str">
        <f t="shared" si="1"/>
        <v/>
      </c>
      <c r="L6" s="5" t="str">
        <f t="shared" si="2"/>
        <v/>
      </c>
      <c r="P6" s="12"/>
      <c r="Q6" s="12">
        <v>1</v>
      </c>
      <c r="R6" s="12">
        <v>1</v>
      </c>
      <c r="S6" s="12">
        <v>1</v>
      </c>
      <c r="T6" s="12">
        <v>1</v>
      </c>
      <c r="U6" s="12"/>
    </row>
    <row r="7" spans="1:21" ht="15.75" customHeight="1" x14ac:dyDescent="0.3">
      <c r="A7" s="6" t="str">
        <f>IFERROR(INDEX('Raw Data'!$A$2:$A$200,_xlfn.AGGREGATE(15,6,(ROW('Raw Data'!$A$2:$A$200)-ROW('Raw Data'!$A$2)+1)/((COUNTIF($A$4:A6,'Raw Data'!$A$2:$A$200)=0)*('Raw Data'!$A$2:$A$200&lt;&gt;"")),1)),"")</f>
        <v/>
      </c>
      <c r="B7" s="7" t="str">
        <f>IF($A7="","",SUMIFS('Raw Data'!$F:$F,'Raw Data'!$A:$A,$A7,'Raw Data'!$E:$E,B$3))</f>
        <v/>
      </c>
      <c r="C7" s="8" t="str">
        <f>IF($A7="","",SUMIFS('Raw Data'!$J:$J,'Raw Data'!$A:$A,$A7,'Raw Data'!$E:$E,B$3))</f>
        <v/>
      </c>
      <c r="D7" s="7" t="str">
        <f>IF($A7="","",SUMIFS('Raw Data'!$F:$F,'Raw Data'!$A:$A,$A7,'Raw Data'!$E:$E,D$3))</f>
        <v/>
      </c>
      <c r="E7" s="8" t="str">
        <f>IF($A7="","",SUMIFS('Raw Data'!$J:$J,'Raw Data'!$A:$A,$A7,'Raw Data'!$E:$E,D$3))</f>
        <v/>
      </c>
      <c r="F7" s="7" t="str">
        <f>IF($A7="","",SUMIFS('Raw Data'!$F:$F,'Raw Data'!$A:$A,$A7,'Raw Data'!$E:$E,F$3))</f>
        <v/>
      </c>
      <c r="G7" s="8" t="str">
        <f>IF($A7="","",SUMIFS('Raw Data'!$J:$J,'Raw Data'!$A:$A,$A7,'Raw Data'!$E:$E,F$3))</f>
        <v/>
      </c>
      <c r="H7" s="7" t="str">
        <f>IF($A7="","",SUMIFS('Raw Data'!$F:$F,'Raw Data'!$A:$A,$A7,'Raw Data'!$E:$E,H$3))</f>
        <v/>
      </c>
      <c r="I7" s="8" t="str">
        <f>IF($A7="","",SUMIFS('Raw Data'!$J:$J,'Raw Data'!$A:$A,$A7,'Raw Data'!$E:$E,H$3))</f>
        <v/>
      </c>
      <c r="J7" s="9" t="str">
        <f t="shared" si="0"/>
        <v/>
      </c>
      <c r="K7" s="10" t="str">
        <f t="shared" si="1"/>
        <v/>
      </c>
      <c r="L7" s="5" t="str">
        <f t="shared" si="2"/>
        <v/>
      </c>
      <c r="P7" s="12"/>
      <c r="Q7" s="12">
        <v>1</v>
      </c>
      <c r="R7" s="12">
        <v>1</v>
      </c>
      <c r="S7" s="12">
        <v>1</v>
      </c>
      <c r="T7" s="12">
        <v>1</v>
      </c>
      <c r="U7" s="12"/>
    </row>
    <row r="8" spans="1:21" ht="15.75" customHeight="1" x14ac:dyDescent="0.3">
      <c r="A8" s="6" t="str">
        <f>IFERROR(INDEX('Raw Data'!$A$2:$A$200,_xlfn.AGGREGATE(15,6,(ROW('Raw Data'!$A$2:$A$200)-ROW('Raw Data'!$A$2)+1)/((COUNTIF($A$4:A7,'Raw Data'!$A$2:$A$200)=0)*('Raw Data'!$A$2:$A$200&lt;&gt;"")),1)),"")</f>
        <v/>
      </c>
      <c r="B8" s="7" t="str">
        <f>IF($A8="","",SUMIFS('Raw Data'!$F:$F,'Raw Data'!$A:$A,$A8,'Raw Data'!$E:$E,B$3))</f>
        <v/>
      </c>
      <c r="C8" s="8" t="str">
        <f>IF($A8="","",SUMIFS('Raw Data'!$J:$J,'Raw Data'!$A:$A,$A8,'Raw Data'!$E:$E,B$3))</f>
        <v/>
      </c>
      <c r="D8" s="7" t="str">
        <f>IF($A8="","",SUMIFS('Raw Data'!$F:$F,'Raw Data'!$A:$A,$A8,'Raw Data'!$E:$E,D$3))</f>
        <v/>
      </c>
      <c r="E8" s="8" t="str">
        <f>IF($A8="","",SUMIFS('Raw Data'!$J:$J,'Raw Data'!$A:$A,$A8,'Raw Data'!$E:$E,D$3))</f>
        <v/>
      </c>
      <c r="F8" s="7" t="str">
        <f>IF($A8="","",SUMIFS('Raw Data'!$F:$F,'Raw Data'!$A:$A,$A8,'Raw Data'!$E:$E,F$3))</f>
        <v/>
      </c>
      <c r="G8" s="8" t="str">
        <f>IF($A8="","",SUMIFS('Raw Data'!$J:$J,'Raw Data'!$A:$A,$A8,'Raw Data'!$E:$E,F$3))</f>
        <v/>
      </c>
      <c r="H8" s="7" t="str">
        <f>IF($A8="","",SUMIFS('Raw Data'!$F:$F,'Raw Data'!$A:$A,$A8,'Raw Data'!$E:$E,H$3))</f>
        <v/>
      </c>
      <c r="I8" s="8" t="str">
        <f>IF($A8="","",SUMIFS('Raw Data'!$J:$J,'Raw Data'!$A:$A,$A8,'Raw Data'!$E:$E,H$3))</f>
        <v/>
      </c>
      <c r="J8" s="9" t="str">
        <f t="shared" si="0"/>
        <v/>
      </c>
      <c r="K8" s="10" t="str">
        <f t="shared" si="1"/>
        <v/>
      </c>
      <c r="L8" s="5" t="str">
        <f t="shared" si="2"/>
        <v/>
      </c>
      <c r="P8" s="15" t="s">
        <v>68</v>
      </c>
      <c r="Q8" s="15">
        <f>Q10+Q12</f>
        <v>0</v>
      </c>
      <c r="R8" s="15">
        <f>R10+R12</f>
        <v>0</v>
      </c>
      <c r="S8" s="15">
        <f>S10+S12</f>
        <v>0</v>
      </c>
      <c r="T8" s="15">
        <f>T10+T12</f>
        <v>0</v>
      </c>
      <c r="U8" s="12">
        <f>SUM(Q8:T8)</f>
        <v>0</v>
      </c>
    </row>
    <row r="9" spans="1:21" ht="15.75" customHeight="1" x14ac:dyDescent="0.3">
      <c r="A9" s="6" t="str">
        <f>IFERROR(INDEX('Raw Data'!$A$2:$A$200,_xlfn.AGGREGATE(15,6,(ROW('Raw Data'!$A$2:$A$200)-ROW('Raw Data'!$A$2)+1)/((COUNTIF($A$4:A8,'Raw Data'!$A$2:$A$200)=0)*('Raw Data'!$A$2:$A$200&lt;&gt;"")),1)),"")</f>
        <v/>
      </c>
      <c r="B9" s="7" t="str">
        <f>IF($A9="","",SUMIFS('Raw Data'!$F:$F,'Raw Data'!$A:$A,$A9,'Raw Data'!$E:$E,B$3))</f>
        <v/>
      </c>
      <c r="C9" s="8" t="str">
        <f>IF($A9="","",SUMIFS('Raw Data'!$J:$J,'Raw Data'!$A:$A,$A9,'Raw Data'!$E:$E,B$3))</f>
        <v/>
      </c>
      <c r="D9" s="7" t="str">
        <f>IF($A9="","",SUMIFS('Raw Data'!$F:$F,'Raw Data'!$A:$A,$A9,'Raw Data'!$E:$E,D$3))</f>
        <v/>
      </c>
      <c r="E9" s="8" t="str">
        <f>IF($A9="","",SUMIFS('Raw Data'!$J:$J,'Raw Data'!$A:$A,$A9,'Raw Data'!$E:$E,D$3))</f>
        <v/>
      </c>
      <c r="F9" s="7" t="str">
        <f>IF($A9="","",SUMIFS('Raw Data'!$F:$F,'Raw Data'!$A:$A,$A9,'Raw Data'!$E:$E,F$3))</f>
        <v/>
      </c>
      <c r="G9" s="8" t="str">
        <f>IF($A9="","",SUMIFS('Raw Data'!$J:$J,'Raw Data'!$A:$A,$A9,'Raw Data'!$E:$E,F$3))</f>
        <v/>
      </c>
      <c r="H9" s="7" t="str">
        <f>IF($A9="","",SUMIFS('Raw Data'!$F:$F,'Raw Data'!$A:$A,$A9,'Raw Data'!$E:$E,H$3))</f>
        <v/>
      </c>
      <c r="I9" s="8" t="str">
        <f>IF($A9="","",SUMIFS('Raw Data'!$J:$J,'Raw Data'!$A:$A,$A9,'Raw Data'!$E:$E,H$3))</f>
        <v/>
      </c>
      <c r="J9" s="9" t="str">
        <f t="shared" si="0"/>
        <v/>
      </c>
      <c r="K9" s="10" t="str">
        <f t="shared" si="1"/>
        <v/>
      </c>
      <c r="L9" s="5" t="str">
        <f t="shared" si="2"/>
        <v/>
      </c>
      <c r="P9" s="12"/>
      <c r="Q9" s="13" t="e">
        <f>Q8/$U$8</f>
        <v>#DIV/0!</v>
      </c>
      <c r="R9" s="13" t="e">
        <f>R8/$U$8</f>
        <v>#DIV/0!</v>
      </c>
      <c r="S9" s="13" t="e">
        <f>S8/$U$8</f>
        <v>#DIV/0!</v>
      </c>
      <c r="T9" s="13" t="e">
        <f>T8/$U$8</f>
        <v>#DIV/0!</v>
      </c>
      <c r="U9" s="12"/>
    </row>
    <row r="10" spans="1:21" ht="15.75" customHeight="1" x14ac:dyDescent="0.3">
      <c r="A10" s="6" t="str">
        <f>IFERROR(INDEX('Raw Data'!$A$2:$A$200,_xlfn.AGGREGATE(15,6,(ROW('Raw Data'!$A$2:$A$200)-ROW('Raw Data'!$A$2)+1)/((COUNTIF($A$4:A9,'Raw Data'!$A$2:$A$200)=0)*('Raw Data'!$A$2:$A$200&lt;&gt;"")),1)),"")</f>
        <v/>
      </c>
      <c r="B10" s="7" t="str">
        <f>IF($A10="","",SUMIFS('Raw Data'!$F:$F,'Raw Data'!$A:$A,$A10,'Raw Data'!$E:$E,B$3))</f>
        <v/>
      </c>
      <c r="C10" s="8" t="str">
        <f>IF($A10="","",SUMIFS('Raw Data'!$J:$J,'Raw Data'!$A:$A,$A10,'Raw Data'!$E:$E,B$3))</f>
        <v/>
      </c>
      <c r="D10" s="7" t="str">
        <f>IF($A10="","",SUMIFS('Raw Data'!$F:$F,'Raw Data'!$A:$A,$A10,'Raw Data'!$E:$E,D$3))</f>
        <v/>
      </c>
      <c r="E10" s="8" t="str">
        <f>IF($A10="","",SUMIFS('Raw Data'!$J:$J,'Raw Data'!$A:$A,$A10,'Raw Data'!$E:$E,D$3))</f>
        <v/>
      </c>
      <c r="F10" s="7" t="str">
        <f>IF($A10="","",SUMIFS('Raw Data'!$F:$F,'Raw Data'!$A:$A,$A10,'Raw Data'!$E:$E,F$3))</f>
        <v/>
      </c>
      <c r="G10" s="8" t="str">
        <f>IF($A10="","",SUMIFS('Raw Data'!$J:$J,'Raw Data'!$A:$A,$A10,'Raw Data'!$E:$E,F$3))</f>
        <v/>
      </c>
      <c r="H10" s="7" t="str">
        <f>IF($A10="","",SUMIFS('Raw Data'!$F:$F,'Raw Data'!$A:$A,$A10,'Raw Data'!$E:$E,H$3))</f>
        <v/>
      </c>
      <c r="I10" s="8" t="str">
        <f>IF($A10="","",SUMIFS('Raw Data'!$J:$J,'Raw Data'!$A:$A,$A10,'Raw Data'!$E:$E,H$3))</f>
        <v/>
      </c>
      <c r="J10" s="9" t="str">
        <f t="shared" si="0"/>
        <v/>
      </c>
      <c r="K10" s="10" t="str">
        <f t="shared" si="1"/>
        <v/>
      </c>
      <c r="L10" s="5" t="str">
        <f t="shared" si="2"/>
        <v/>
      </c>
      <c r="P10" s="16" t="s">
        <v>64</v>
      </c>
      <c r="Q10" s="16">
        <f>COUNTIFS($B5:$B204,Q6,$B5:$B204,Q7)</f>
        <v>0</v>
      </c>
      <c r="R10" s="16">
        <f>COUNTIFS($D$4:$D$204,R6,$D$4:$D$204,R7)</f>
        <v>0</v>
      </c>
      <c r="S10" s="16">
        <f>COUNTIFS($F5:$F204,S6,$F5:$F204,S7)</f>
        <v>0</v>
      </c>
      <c r="T10" s="16">
        <f>COUNTIFS($H5:$H204,T6,$H5:$H204,T7)</f>
        <v>0</v>
      </c>
      <c r="U10" s="12">
        <f>SUM(Q10:T10)</f>
        <v>0</v>
      </c>
    </row>
    <row r="11" spans="1:21" ht="15.75" customHeight="1" x14ac:dyDescent="0.3">
      <c r="A11" s="6" t="str">
        <f>IFERROR(INDEX('Raw Data'!$A$2:$A$200,_xlfn.AGGREGATE(15,6,(ROW('Raw Data'!$A$2:$A$200)-ROW('Raw Data'!$A$2)+1)/((COUNTIF($A$4:A10,'Raw Data'!$A$2:$A$200)=0)*('Raw Data'!$A$2:$A$200&lt;&gt;"")),1)),"")</f>
        <v/>
      </c>
      <c r="B11" s="7" t="str">
        <f>IF($A11="","",SUMIFS('Raw Data'!$F:$F,'Raw Data'!$A:$A,$A11,'Raw Data'!$E:$E,B$3))</f>
        <v/>
      </c>
      <c r="C11" s="8" t="str">
        <f>IF($A11="","",SUMIFS('Raw Data'!$J:$J,'Raw Data'!$A:$A,$A11,'Raw Data'!$E:$E,B$3))</f>
        <v/>
      </c>
      <c r="D11" s="7" t="str">
        <f>IF($A11="","",SUMIFS('Raw Data'!$F:$F,'Raw Data'!$A:$A,$A11,'Raw Data'!$E:$E,D$3))</f>
        <v/>
      </c>
      <c r="E11" s="8" t="str">
        <f>IF($A11="","",SUMIFS('Raw Data'!$J:$J,'Raw Data'!$A:$A,$A11,'Raw Data'!$E:$E,D$3))</f>
        <v/>
      </c>
      <c r="F11" s="7" t="str">
        <f>IF($A11="","",SUMIFS('Raw Data'!$F:$F,'Raw Data'!$A:$A,$A11,'Raw Data'!$E:$E,F$3))</f>
        <v/>
      </c>
      <c r="G11" s="8" t="str">
        <f>IF($A11="","",SUMIFS('Raw Data'!$J:$J,'Raw Data'!$A:$A,$A11,'Raw Data'!$E:$E,F$3))</f>
        <v/>
      </c>
      <c r="H11" s="7" t="str">
        <f>IF($A11="","",SUMIFS('Raw Data'!$F:$F,'Raw Data'!$A:$A,$A11,'Raw Data'!$E:$E,H$3))</f>
        <v/>
      </c>
      <c r="I11" s="8" t="str">
        <f>IF($A11="","",SUMIFS('Raw Data'!$J:$J,'Raw Data'!$A:$A,$A11,'Raw Data'!$E:$E,H$3))</f>
        <v/>
      </c>
      <c r="J11" s="9" t="str">
        <f t="shared" si="0"/>
        <v/>
      </c>
      <c r="K11" s="10" t="str">
        <f t="shared" si="1"/>
        <v/>
      </c>
      <c r="L11" s="5" t="str">
        <f t="shared" si="2"/>
        <v/>
      </c>
      <c r="P11" s="12"/>
      <c r="Q11" s="13" t="e">
        <f>Q10/$U$10</f>
        <v>#DIV/0!</v>
      </c>
      <c r="R11" s="13" t="e">
        <f>R10/$U$10</f>
        <v>#DIV/0!</v>
      </c>
      <c r="S11" s="13" t="e">
        <f>S10/$U$10</f>
        <v>#DIV/0!</v>
      </c>
      <c r="T11" s="13" t="e">
        <f>T10/$U$10</f>
        <v>#DIV/0!</v>
      </c>
      <c r="U11" s="12"/>
    </row>
    <row r="12" spans="1:21" ht="15.75" customHeight="1" x14ac:dyDescent="0.3">
      <c r="A12" s="6" t="str">
        <f>IFERROR(INDEX('Raw Data'!$A$2:$A$200,_xlfn.AGGREGATE(15,6,(ROW('Raw Data'!$A$2:$A$200)-ROW('Raw Data'!$A$2)+1)/((COUNTIF($A$4:A11,'Raw Data'!$A$2:$A$200)=0)*('Raw Data'!$A$2:$A$200&lt;&gt;"")),1)),"")</f>
        <v/>
      </c>
      <c r="B12" s="7" t="str">
        <f>IF($A12="","",SUMIFS('Raw Data'!$F:$F,'Raw Data'!$A:$A,$A12,'Raw Data'!$E:$E,B$3))</f>
        <v/>
      </c>
      <c r="C12" s="8" t="str">
        <f>IF($A12="","",SUMIFS('Raw Data'!$J:$J,'Raw Data'!$A:$A,$A12,'Raw Data'!$E:$E,B$3))</f>
        <v/>
      </c>
      <c r="D12" s="7" t="str">
        <f>IF($A12="","",SUMIFS('Raw Data'!$F:$F,'Raw Data'!$A:$A,$A12,'Raw Data'!$E:$E,D$3))</f>
        <v/>
      </c>
      <c r="E12" s="8" t="str">
        <f>IF($A12="","",SUMIFS('Raw Data'!$J:$J,'Raw Data'!$A:$A,$A12,'Raw Data'!$E:$E,D$3))</f>
        <v/>
      </c>
      <c r="F12" s="7" t="str">
        <f>IF($A12="","",SUMIFS('Raw Data'!$F:$F,'Raw Data'!$A:$A,$A12,'Raw Data'!$E:$E,F$3))</f>
        <v/>
      </c>
      <c r="G12" s="8" t="str">
        <f>IF($A12="","",SUMIFS('Raw Data'!$J:$J,'Raw Data'!$A:$A,$A12,'Raw Data'!$E:$E,F$3))</f>
        <v/>
      </c>
      <c r="H12" s="7" t="str">
        <f>IF($A12="","",SUMIFS('Raw Data'!$F:$F,'Raw Data'!$A:$A,$A12,'Raw Data'!$E:$E,H$3))</f>
        <v/>
      </c>
      <c r="I12" s="8" t="str">
        <f>IF($A12="","",SUMIFS('Raw Data'!$J:$J,'Raw Data'!$A:$A,$A12,'Raw Data'!$E:$E,H$3))</f>
        <v/>
      </c>
      <c r="J12" s="9" t="str">
        <f t="shared" si="0"/>
        <v/>
      </c>
      <c r="K12" s="10" t="str">
        <f t="shared" si="1"/>
        <v/>
      </c>
      <c r="L12" s="5" t="str">
        <f t="shared" si="2"/>
        <v/>
      </c>
      <c r="P12" s="17" t="s">
        <v>51</v>
      </c>
      <c r="Q12" s="17">
        <f>COUNTIFS($C5:$C204,Q6,$C5:$C204,Q7)</f>
        <v>0</v>
      </c>
      <c r="R12" s="17">
        <f>COUNTIFS($E5:$E204,R6,$E5:$E204,R7)</f>
        <v>0</v>
      </c>
      <c r="S12" s="17">
        <f>COUNTIFS($G5:$G204,S6,$G5:$G204,S7)</f>
        <v>0</v>
      </c>
      <c r="T12" s="17">
        <f>COUNTIFS($I5:$I204,T6,$I5:$I204,T7)</f>
        <v>0</v>
      </c>
      <c r="U12" s="12">
        <f>SUM(Q12:T12)</f>
        <v>0</v>
      </c>
    </row>
    <row r="13" spans="1:21" ht="15.75" customHeight="1" x14ac:dyDescent="0.3">
      <c r="A13" s="6" t="str">
        <f>IFERROR(INDEX('Raw Data'!$A$2:$A$200,_xlfn.AGGREGATE(15,6,(ROW('Raw Data'!$A$2:$A$200)-ROW('Raw Data'!$A$2)+1)/((COUNTIF($A$4:A12,'Raw Data'!$A$2:$A$200)=0)*('Raw Data'!$A$2:$A$200&lt;&gt;"")),1)),"")</f>
        <v/>
      </c>
      <c r="B13" s="7" t="str">
        <f>IF($A13="","",SUMIFS('Raw Data'!$F:$F,'Raw Data'!$A:$A,$A13,'Raw Data'!$E:$E,B$3))</f>
        <v/>
      </c>
      <c r="C13" s="8" t="str">
        <f>IF($A13="","",SUMIFS('Raw Data'!$J:$J,'Raw Data'!$A:$A,$A13,'Raw Data'!$E:$E,B$3))</f>
        <v/>
      </c>
      <c r="D13" s="7" t="str">
        <f>IF($A13="","",SUMIFS('Raw Data'!$F:$F,'Raw Data'!$A:$A,$A13,'Raw Data'!$E:$E,D$3))</f>
        <v/>
      </c>
      <c r="E13" s="8" t="str">
        <f>IF($A13="","",SUMIFS('Raw Data'!$J:$J,'Raw Data'!$A:$A,$A13,'Raw Data'!$E:$E,D$3))</f>
        <v/>
      </c>
      <c r="F13" s="7" t="str">
        <f>IF($A13="","",SUMIFS('Raw Data'!$F:$F,'Raw Data'!$A:$A,$A13,'Raw Data'!$E:$E,F$3))</f>
        <v/>
      </c>
      <c r="G13" s="8" t="str">
        <f>IF($A13="","",SUMIFS('Raw Data'!$J:$J,'Raw Data'!$A:$A,$A13,'Raw Data'!$E:$E,F$3))</f>
        <v/>
      </c>
      <c r="H13" s="7" t="str">
        <f>IF($A13="","",SUMIFS('Raw Data'!$F:$F,'Raw Data'!$A:$A,$A13,'Raw Data'!$E:$E,H$3))</f>
        <v/>
      </c>
      <c r="I13" s="8" t="str">
        <f>IF($A13="","",SUMIFS('Raw Data'!$J:$J,'Raw Data'!$A:$A,$A13,'Raw Data'!$E:$E,H$3))</f>
        <v/>
      </c>
      <c r="J13" s="9" t="str">
        <f t="shared" si="0"/>
        <v/>
      </c>
      <c r="K13" s="10" t="str">
        <f t="shared" si="1"/>
        <v/>
      </c>
      <c r="L13" s="5" t="str">
        <f t="shared" si="2"/>
        <v/>
      </c>
      <c r="P13" s="12"/>
      <c r="Q13" s="13" t="e">
        <f>Q12/$U$12</f>
        <v>#DIV/0!</v>
      </c>
      <c r="R13" s="13" t="e">
        <f>R12/$U$12</f>
        <v>#DIV/0!</v>
      </c>
      <c r="S13" s="13" t="e">
        <f>S12/$U$12</f>
        <v>#DIV/0!</v>
      </c>
      <c r="T13" s="13" t="e">
        <f>T12/$U$12</f>
        <v>#DIV/0!</v>
      </c>
      <c r="U13" s="12"/>
    </row>
    <row r="14" spans="1:21" ht="15.75" customHeight="1" x14ac:dyDescent="0.3">
      <c r="A14" s="6" t="str">
        <f>IFERROR(INDEX('Raw Data'!$A$2:$A$200,_xlfn.AGGREGATE(15,6,(ROW('Raw Data'!$A$2:$A$200)-ROW('Raw Data'!$A$2)+1)/((COUNTIF($A$4:A13,'Raw Data'!$A$2:$A$200)=0)*('Raw Data'!$A$2:$A$200&lt;&gt;"")),1)),"")</f>
        <v/>
      </c>
      <c r="B14" s="7" t="str">
        <f>IF($A14="","",SUMIFS('Raw Data'!$F:$F,'Raw Data'!$A:$A,$A14,'Raw Data'!$E:$E,B$3))</f>
        <v/>
      </c>
      <c r="C14" s="8" t="str">
        <f>IF($A14="","",SUMIFS('Raw Data'!$J:$J,'Raw Data'!$A:$A,$A14,'Raw Data'!$E:$E,B$3))</f>
        <v/>
      </c>
      <c r="D14" s="7" t="str">
        <f>IF($A14="","",SUMIFS('Raw Data'!$F:$F,'Raw Data'!$A:$A,$A14,'Raw Data'!$E:$E,D$3))</f>
        <v/>
      </c>
      <c r="E14" s="8" t="str">
        <f>IF($A14="","",SUMIFS('Raw Data'!$J:$J,'Raw Data'!$A:$A,$A14,'Raw Data'!$E:$E,D$3))</f>
        <v/>
      </c>
      <c r="F14" s="7" t="str">
        <f>IF($A14="","",SUMIFS('Raw Data'!$F:$F,'Raw Data'!$A:$A,$A14,'Raw Data'!$E:$E,F$3))</f>
        <v/>
      </c>
      <c r="G14" s="8" t="str">
        <f>IF($A14="","",SUMIFS('Raw Data'!$J:$J,'Raw Data'!$A:$A,$A14,'Raw Data'!$E:$E,F$3))</f>
        <v/>
      </c>
      <c r="H14" s="7" t="str">
        <f>IF($A14="","",SUMIFS('Raw Data'!$F:$F,'Raw Data'!$A:$A,$A14,'Raw Data'!$E:$E,H$3))</f>
        <v/>
      </c>
      <c r="I14" s="8" t="str">
        <f>IF($A14="","",SUMIFS('Raw Data'!$J:$J,'Raw Data'!$A:$A,$A14,'Raw Data'!$E:$E,H$3))</f>
        <v/>
      </c>
      <c r="J14" s="9" t="str">
        <f t="shared" si="0"/>
        <v/>
      </c>
      <c r="K14" s="10" t="str">
        <f t="shared" si="1"/>
        <v/>
      </c>
      <c r="L14" s="5" t="str">
        <f t="shared" si="2"/>
        <v/>
      </c>
    </row>
    <row r="15" spans="1:21" ht="15.75" customHeight="1" x14ac:dyDescent="0.3">
      <c r="A15" s="6" t="str">
        <f>IFERROR(INDEX('Raw Data'!$A$2:$A$200,_xlfn.AGGREGATE(15,6,(ROW('Raw Data'!$A$2:$A$200)-ROW('Raw Data'!$A$2)+1)/((COUNTIF($A$4:A14,'Raw Data'!$A$2:$A$200)=0)*('Raw Data'!$A$2:$A$200&lt;&gt;"")),1)),"")</f>
        <v/>
      </c>
      <c r="B15" s="7" t="str">
        <f>IF($A15="","",SUMIFS('Raw Data'!$F:$F,'Raw Data'!$A:$A,$A15,'Raw Data'!$E:$E,B$3))</f>
        <v/>
      </c>
      <c r="C15" s="8" t="str">
        <f>IF($A15="","",SUMIFS('Raw Data'!$J:$J,'Raw Data'!$A:$A,$A15,'Raw Data'!$E:$E,B$3))</f>
        <v/>
      </c>
      <c r="D15" s="7" t="str">
        <f>IF($A15="","",SUMIFS('Raw Data'!$F:$F,'Raw Data'!$A:$A,$A15,'Raw Data'!$E:$E,D$3))</f>
        <v/>
      </c>
      <c r="E15" s="8" t="str">
        <f>IF($A15="","",SUMIFS('Raw Data'!$J:$J,'Raw Data'!$A:$A,$A15,'Raw Data'!$E:$E,D$3))</f>
        <v/>
      </c>
      <c r="F15" s="7" t="str">
        <f>IF($A15="","",SUMIFS('Raw Data'!$F:$F,'Raw Data'!$A:$A,$A15,'Raw Data'!$E:$E,F$3))</f>
        <v/>
      </c>
      <c r="G15" s="8" t="str">
        <f>IF($A15="","",SUMIFS('Raw Data'!$J:$J,'Raw Data'!$A:$A,$A15,'Raw Data'!$E:$E,F$3))</f>
        <v/>
      </c>
      <c r="H15" s="7" t="str">
        <f>IF($A15="","",SUMIFS('Raw Data'!$F:$F,'Raw Data'!$A:$A,$A15,'Raw Data'!$E:$E,H$3))</f>
        <v/>
      </c>
      <c r="I15" s="8" t="str">
        <f>IF($A15="","",SUMIFS('Raw Data'!$J:$J,'Raw Data'!$A:$A,$A15,'Raw Data'!$E:$E,H$3))</f>
        <v/>
      </c>
      <c r="J15" s="9" t="str">
        <f t="shared" si="0"/>
        <v/>
      </c>
      <c r="K15" s="10" t="str">
        <f t="shared" si="1"/>
        <v/>
      </c>
      <c r="L15" s="5" t="str">
        <f t="shared" si="2"/>
        <v/>
      </c>
      <c r="T15" s="14"/>
    </row>
    <row r="16" spans="1:21" ht="15.75" customHeight="1" x14ac:dyDescent="0.3">
      <c r="A16" s="6" t="str">
        <f>IFERROR(INDEX('Raw Data'!$A$2:$A$200,_xlfn.AGGREGATE(15,6,(ROW('Raw Data'!$A$2:$A$200)-ROW('Raw Data'!$A$2)+1)/((COUNTIF($A$4:A15,'Raw Data'!$A$2:$A$200)=0)*('Raw Data'!$A$2:$A$200&lt;&gt;"")),1)),"")</f>
        <v/>
      </c>
      <c r="B16" s="7" t="str">
        <f>IF($A16="","",SUMIFS('Raw Data'!$F:$F,'Raw Data'!$A:$A,$A16,'Raw Data'!$E:$E,B$3))</f>
        <v/>
      </c>
      <c r="C16" s="8" t="str">
        <f>IF($A16="","",SUMIFS('Raw Data'!$J:$J,'Raw Data'!$A:$A,$A16,'Raw Data'!$E:$E,B$3))</f>
        <v/>
      </c>
      <c r="D16" s="7" t="str">
        <f>IF($A16="","",SUMIFS('Raw Data'!$F:$F,'Raw Data'!$A:$A,$A16,'Raw Data'!$E:$E,D$3))</f>
        <v/>
      </c>
      <c r="E16" s="8" t="str">
        <f>IF($A16="","",SUMIFS('Raw Data'!$J:$J,'Raw Data'!$A:$A,$A16,'Raw Data'!$E:$E,D$3))</f>
        <v/>
      </c>
      <c r="F16" s="7" t="str">
        <f>IF($A16="","",SUMIFS('Raw Data'!$F:$F,'Raw Data'!$A:$A,$A16,'Raw Data'!$E:$E,F$3))</f>
        <v/>
      </c>
      <c r="G16" s="8" t="str">
        <f>IF($A16="","",SUMIFS('Raw Data'!$J:$J,'Raw Data'!$A:$A,$A16,'Raw Data'!$E:$E,F$3))</f>
        <v/>
      </c>
      <c r="H16" s="7" t="str">
        <f>IF($A16="","",SUMIFS('Raw Data'!$F:$F,'Raw Data'!$A:$A,$A16,'Raw Data'!$E:$E,H$3))</f>
        <v/>
      </c>
      <c r="I16" s="8" t="str">
        <f>IF($A16="","",SUMIFS('Raw Data'!$J:$J,'Raw Data'!$A:$A,$A16,'Raw Data'!$E:$E,H$3))</f>
        <v/>
      </c>
      <c r="J16" s="9" t="str">
        <f t="shared" si="0"/>
        <v/>
      </c>
      <c r="K16" s="10" t="str">
        <f t="shared" si="1"/>
        <v/>
      </c>
      <c r="L16" s="5" t="str">
        <f t="shared" si="2"/>
        <v/>
      </c>
    </row>
    <row r="17" spans="1:12" ht="15.75" customHeight="1" x14ac:dyDescent="0.3">
      <c r="A17" s="6" t="str">
        <f>IFERROR(INDEX('Raw Data'!$A$2:$A$200,_xlfn.AGGREGATE(15,6,(ROW('Raw Data'!$A$2:$A$200)-ROW('Raw Data'!$A$2)+1)/((COUNTIF($A$4:A16,'Raw Data'!$A$2:$A$200)=0)*('Raw Data'!$A$2:$A$200&lt;&gt;"")),1)),"")</f>
        <v/>
      </c>
      <c r="B17" s="7" t="str">
        <f>IF($A17="","",SUMIFS('Raw Data'!$F:$F,'Raw Data'!$A:$A,$A17,'Raw Data'!$E:$E,B$3))</f>
        <v/>
      </c>
      <c r="C17" s="8" t="str">
        <f>IF($A17="","",SUMIFS('Raw Data'!$J:$J,'Raw Data'!$A:$A,$A17,'Raw Data'!$E:$E,B$3))</f>
        <v/>
      </c>
      <c r="D17" s="7" t="str">
        <f>IF($A17="","",SUMIFS('Raw Data'!$F:$F,'Raw Data'!$A:$A,$A17,'Raw Data'!$E:$E,D$3))</f>
        <v/>
      </c>
      <c r="E17" s="8" t="str">
        <f>IF($A17="","",SUMIFS('Raw Data'!$J:$J,'Raw Data'!$A:$A,$A17,'Raw Data'!$E:$E,D$3))</f>
        <v/>
      </c>
      <c r="F17" s="7" t="str">
        <f>IF($A17="","",SUMIFS('Raw Data'!$F:$F,'Raw Data'!$A:$A,$A17,'Raw Data'!$E:$E,F$3))</f>
        <v/>
      </c>
      <c r="G17" s="8" t="str">
        <f>IF($A17="","",SUMIFS('Raw Data'!$J:$J,'Raw Data'!$A:$A,$A17,'Raw Data'!$E:$E,F$3))</f>
        <v/>
      </c>
      <c r="H17" s="7" t="str">
        <f>IF($A17="","",SUMIFS('Raw Data'!$F:$F,'Raw Data'!$A:$A,$A17,'Raw Data'!$E:$E,H$3))</f>
        <v/>
      </c>
      <c r="I17" s="8" t="str">
        <f>IF($A17="","",SUMIFS('Raw Data'!$J:$J,'Raw Data'!$A:$A,$A17,'Raw Data'!$E:$E,H$3))</f>
        <v/>
      </c>
      <c r="J17" s="9" t="str">
        <f t="shared" si="0"/>
        <v/>
      </c>
      <c r="K17" s="10" t="str">
        <f t="shared" si="1"/>
        <v/>
      </c>
      <c r="L17" s="5" t="str">
        <f t="shared" si="2"/>
        <v/>
      </c>
    </row>
    <row r="18" spans="1:12" ht="15.75" customHeight="1" x14ac:dyDescent="0.3">
      <c r="A18" s="6" t="str">
        <f>IFERROR(INDEX('Raw Data'!$A$2:$A$200,_xlfn.AGGREGATE(15,6,(ROW('Raw Data'!$A$2:$A$200)-ROW('Raw Data'!$A$2)+1)/((COUNTIF($A$4:A17,'Raw Data'!$A$2:$A$200)=0)*('Raw Data'!$A$2:$A$200&lt;&gt;"")),1)),"")</f>
        <v/>
      </c>
      <c r="B18" s="7" t="str">
        <f>IF($A18="","",SUMIFS('Raw Data'!$F:$F,'Raw Data'!$A:$A,$A18,'Raw Data'!$E:$E,B$3))</f>
        <v/>
      </c>
      <c r="C18" s="8" t="str">
        <f>IF($A18="","",SUMIFS('Raw Data'!$J:$J,'Raw Data'!$A:$A,$A18,'Raw Data'!$E:$E,B$3))</f>
        <v/>
      </c>
      <c r="D18" s="7" t="str">
        <f>IF($A18="","",SUMIFS('Raw Data'!$F:$F,'Raw Data'!$A:$A,$A18,'Raw Data'!$E:$E,D$3))</f>
        <v/>
      </c>
      <c r="E18" s="8" t="str">
        <f>IF($A18="","",SUMIFS('Raw Data'!$J:$J,'Raw Data'!$A:$A,$A18,'Raw Data'!$E:$E,D$3))</f>
        <v/>
      </c>
      <c r="F18" s="7" t="str">
        <f>IF($A18="","",SUMIFS('Raw Data'!$F:$F,'Raw Data'!$A:$A,$A18,'Raw Data'!$E:$E,F$3))</f>
        <v/>
      </c>
      <c r="G18" s="8" t="str">
        <f>IF($A18="","",SUMIFS('Raw Data'!$J:$J,'Raw Data'!$A:$A,$A18,'Raw Data'!$E:$E,F$3))</f>
        <v/>
      </c>
      <c r="H18" s="7" t="str">
        <f>IF($A18="","",SUMIFS('Raw Data'!$F:$F,'Raw Data'!$A:$A,$A18,'Raw Data'!$E:$E,H$3))</f>
        <v/>
      </c>
      <c r="I18" s="8" t="str">
        <f>IF($A18="","",SUMIFS('Raw Data'!$J:$J,'Raw Data'!$A:$A,$A18,'Raw Data'!$E:$E,H$3))</f>
        <v/>
      </c>
      <c r="J18" s="9" t="str">
        <f t="shared" si="0"/>
        <v/>
      </c>
      <c r="K18" s="10" t="str">
        <f t="shared" si="1"/>
        <v/>
      </c>
      <c r="L18" s="5" t="str">
        <f t="shared" si="2"/>
        <v/>
      </c>
    </row>
    <row r="19" spans="1:12" ht="15.75" customHeight="1" x14ac:dyDescent="0.3">
      <c r="A19" s="6" t="str">
        <f>IFERROR(INDEX('Raw Data'!$A$2:$A$200,_xlfn.AGGREGATE(15,6,(ROW('Raw Data'!$A$2:$A$200)-ROW('Raw Data'!$A$2)+1)/((COUNTIF($A$4:A18,'Raw Data'!$A$2:$A$200)=0)*('Raw Data'!$A$2:$A$200&lt;&gt;"")),1)),"")</f>
        <v/>
      </c>
      <c r="B19" s="7" t="str">
        <f>IF($A19="","",SUMIFS('Raw Data'!$F:$F,'Raw Data'!$A:$A,$A19,'Raw Data'!$E:$E,B$3))</f>
        <v/>
      </c>
      <c r="C19" s="8" t="str">
        <f>IF($A19="","",SUMIFS('Raw Data'!$J:$J,'Raw Data'!$A:$A,$A19,'Raw Data'!$E:$E,B$3))</f>
        <v/>
      </c>
      <c r="D19" s="7" t="str">
        <f>IF($A19="","",SUMIFS('Raw Data'!$F:$F,'Raw Data'!$A:$A,$A19,'Raw Data'!$E:$E,D$3))</f>
        <v/>
      </c>
      <c r="E19" s="8" t="str">
        <f>IF($A19="","",SUMIFS('Raw Data'!$J:$J,'Raw Data'!$A:$A,$A19,'Raw Data'!$E:$E,D$3))</f>
        <v/>
      </c>
      <c r="F19" s="7" t="str">
        <f>IF($A19="","",SUMIFS('Raw Data'!$F:$F,'Raw Data'!$A:$A,$A19,'Raw Data'!$E:$E,F$3))</f>
        <v/>
      </c>
      <c r="G19" s="8" t="str">
        <f>IF($A19="","",SUMIFS('Raw Data'!$J:$J,'Raw Data'!$A:$A,$A19,'Raw Data'!$E:$E,F$3))</f>
        <v/>
      </c>
      <c r="H19" s="7" t="str">
        <f>IF($A19="","",SUMIFS('Raw Data'!$F:$F,'Raw Data'!$A:$A,$A19,'Raw Data'!$E:$E,H$3))</f>
        <v/>
      </c>
      <c r="I19" s="8" t="str">
        <f>IF($A19="","",SUMIFS('Raw Data'!$J:$J,'Raw Data'!$A:$A,$A19,'Raw Data'!$E:$E,H$3))</f>
        <v/>
      </c>
      <c r="J19" s="9" t="str">
        <f t="shared" si="0"/>
        <v/>
      </c>
      <c r="K19" s="10" t="str">
        <f t="shared" si="1"/>
        <v/>
      </c>
      <c r="L19" s="5" t="str">
        <f t="shared" si="2"/>
        <v/>
      </c>
    </row>
    <row r="20" spans="1:12" ht="15.75" customHeight="1" x14ac:dyDescent="0.3">
      <c r="A20" s="6" t="str">
        <f>IFERROR(INDEX('Raw Data'!$A$2:$A$200,_xlfn.AGGREGATE(15,6,(ROW('Raw Data'!$A$2:$A$200)-ROW('Raw Data'!$A$2)+1)/((COUNTIF($A$4:A19,'Raw Data'!$A$2:$A$200)=0)*('Raw Data'!$A$2:$A$200&lt;&gt;"")),1)),"")</f>
        <v/>
      </c>
      <c r="B20" s="7" t="str">
        <f>IF($A20="","",SUMIFS('Raw Data'!$F:$F,'Raw Data'!$A:$A,$A20,'Raw Data'!$E:$E,B$3))</f>
        <v/>
      </c>
      <c r="C20" s="8" t="str">
        <f>IF($A20="","",SUMIFS('Raw Data'!$J:$J,'Raw Data'!$A:$A,$A20,'Raw Data'!$E:$E,B$3))</f>
        <v/>
      </c>
      <c r="D20" s="7" t="str">
        <f>IF($A20="","",SUMIFS('Raw Data'!$F:$F,'Raw Data'!$A:$A,$A20,'Raw Data'!$E:$E,D$3))</f>
        <v/>
      </c>
      <c r="E20" s="8" t="str">
        <f>IF($A20="","",SUMIFS('Raw Data'!$J:$J,'Raw Data'!$A:$A,$A20,'Raw Data'!$E:$E,D$3))</f>
        <v/>
      </c>
      <c r="F20" s="7" t="str">
        <f>IF($A20="","",SUMIFS('Raw Data'!$F:$F,'Raw Data'!$A:$A,$A20,'Raw Data'!$E:$E,F$3))</f>
        <v/>
      </c>
      <c r="G20" s="8" t="str">
        <f>IF($A20="","",SUMIFS('Raw Data'!$J:$J,'Raw Data'!$A:$A,$A20,'Raw Data'!$E:$E,F$3))</f>
        <v/>
      </c>
      <c r="H20" s="7" t="str">
        <f>IF($A20="","",SUMIFS('Raw Data'!$F:$F,'Raw Data'!$A:$A,$A20,'Raw Data'!$E:$E,H$3))</f>
        <v/>
      </c>
      <c r="I20" s="8" t="str">
        <f>IF($A20="","",SUMIFS('Raw Data'!$J:$J,'Raw Data'!$A:$A,$A20,'Raw Data'!$E:$E,H$3))</f>
        <v/>
      </c>
      <c r="J20" s="9" t="str">
        <f t="shared" si="0"/>
        <v/>
      </c>
      <c r="K20" s="10" t="str">
        <f t="shared" si="1"/>
        <v/>
      </c>
      <c r="L20" s="5" t="str">
        <f t="shared" si="2"/>
        <v/>
      </c>
    </row>
    <row r="21" spans="1:12" ht="15.75" customHeight="1" x14ac:dyDescent="0.3">
      <c r="A21" s="6" t="str">
        <f>IFERROR(INDEX('Raw Data'!$A$2:$A$200,_xlfn.AGGREGATE(15,6,(ROW('Raw Data'!$A$2:$A$200)-ROW('Raw Data'!$A$2)+1)/((COUNTIF($A$4:A20,'Raw Data'!$A$2:$A$200)=0)*('Raw Data'!$A$2:$A$200&lt;&gt;"")),1)),"")</f>
        <v/>
      </c>
      <c r="B21" s="7" t="str">
        <f>IF($A21="","",SUMIFS('Raw Data'!$F:$F,'Raw Data'!$A:$A,$A21,'Raw Data'!$E:$E,B$3))</f>
        <v/>
      </c>
      <c r="C21" s="8" t="str">
        <f>IF($A21="","",SUMIFS('Raw Data'!$J:$J,'Raw Data'!$A:$A,$A21,'Raw Data'!$E:$E,B$3))</f>
        <v/>
      </c>
      <c r="D21" s="7" t="str">
        <f>IF($A21="","",SUMIFS('Raw Data'!$F:$F,'Raw Data'!$A:$A,$A21,'Raw Data'!$E:$E,D$3))</f>
        <v/>
      </c>
      <c r="E21" s="8" t="str">
        <f>IF($A21="","",SUMIFS('Raw Data'!$J:$J,'Raw Data'!$A:$A,$A21,'Raw Data'!$E:$E,D$3))</f>
        <v/>
      </c>
      <c r="F21" s="7" t="str">
        <f>IF($A21="","",SUMIFS('Raw Data'!$F:$F,'Raw Data'!$A:$A,$A21,'Raw Data'!$E:$E,F$3))</f>
        <v/>
      </c>
      <c r="G21" s="8" t="str">
        <f>IF($A21="","",SUMIFS('Raw Data'!$J:$J,'Raw Data'!$A:$A,$A21,'Raw Data'!$E:$E,F$3))</f>
        <v/>
      </c>
      <c r="H21" s="7" t="str">
        <f>IF($A21="","",SUMIFS('Raw Data'!$F:$F,'Raw Data'!$A:$A,$A21,'Raw Data'!$E:$E,H$3))</f>
        <v/>
      </c>
      <c r="I21" s="8" t="str">
        <f>IF($A21="","",SUMIFS('Raw Data'!$J:$J,'Raw Data'!$A:$A,$A21,'Raw Data'!$E:$E,H$3))</f>
        <v/>
      </c>
      <c r="J21" s="9" t="str">
        <f t="shared" si="0"/>
        <v/>
      </c>
      <c r="K21" s="10" t="str">
        <f t="shared" si="1"/>
        <v/>
      </c>
      <c r="L21" s="5" t="str">
        <f t="shared" si="2"/>
        <v/>
      </c>
    </row>
    <row r="22" spans="1:12" ht="15.75" customHeight="1" x14ac:dyDescent="0.3">
      <c r="A22" s="6" t="str">
        <f>IFERROR(INDEX('Raw Data'!$A$2:$A$200,_xlfn.AGGREGATE(15,6,(ROW('Raw Data'!$A$2:$A$200)-ROW('Raw Data'!$A$2)+1)/((COUNTIF($A$4:A21,'Raw Data'!$A$2:$A$200)=0)*('Raw Data'!$A$2:$A$200&lt;&gt;"")),1)),"")</f>
        <v/>
      </c>
      <c r="B22" s="7" t="str">
        <f>IF($A22="","",SUMIFS('Raw Data'!$F:$F,'Raw Data'!$A:$A,$A22,'Raw Data'!$E:$E,B$3))</f>
        <v/>
      </c>
      <c r="C22" s="8" t="str">
        <f>IF($A22="","",SUMIFS('Raw Data'!$J:$J,'Raw Data'!$A:$A,$A22,'Raw Data'!$E:$E,B$3))</f>
        <v/>
      </c>
      <c r="D22" s="7" t="str">
        <f>IF($A22="","",SUMIFS('Raw Data'!$F:$F,'Raw Data'!$A:$A,$A22,'Raw Data'!$E:$E,D$3))</f>
        <v/>
      </c>
      <c r="E22" s="8" t="str">
        <f>IF($A22="","",SUMIFS('Raw Data'!$J:$J,'Raw Data'!$A:$A,$A22,'Raw Data'!$E:$E,D$3))</f>
        <v/>
      </c>
      <c r="F22" s="7" t="str">
        <f>IF($A22="","",SUMIFS('Raw Data'!$F:$F,'Raw Data'!$A:$A,$A22,'Raw Data'!$E:$E,F$3))</f>
        <v/>
      </c>
      <c r="G22" s="8" t="str">
        <f>IF($A22="","",SUMIFS('Raw Data'!$J:$J,'Raw Data'!$A:$A,$A22,'Raw Data'!$E:$E,F$3))</f>
        <v/>
      </c>
      <c r="H22" s="7" t="str">
        <f>IF($A22="","",SUMIFS('Raw Data'!$F:$F,'Raw Data'!$A:$A,$A22,'Raw Data'!$E:$E,H$3))</f>
        <v/>
      </c>
      <c r="I22" s="8" t="str">
        <f>IF($A22="","",SUMIFS('Raw Data'!$J:$J,'Raw Data'!$A:$A,$A22,'Raw Data'!$E:$E,H$3))</f>
        <v/>
      </c>
      <c r="J22" s="9" t="str">
        <f t="shared" si="0"/>
        <v/>
      </c>
      <c r="K22" s="10" t="str">
        <f t="shared" si="1"/>
        <v/>
      </c>
      <c r="L22" s="5" t="str">
        <f t="shared" si="2"/>
        <v/>
      </c>
    </row>
    <row r="23" spans="1:12" ht="15.75" customHeight="1" x14ac:dyDescent="0.3">
      <c r="A23" s="6" t="str">
        <f>IFERROR(INDEX('Raw Data'!$A$2:$A$200,_xlfn.AGGREGATE(15,6,(ROW('Raw Data'!$A$2:$A$200)-ROW('Raw Data'!$A$2)+1)/((COUNTIF($A$4:A22,'Raw Data'!$A$2:$A$200)=0)*('Raw Data'!$A$2:$A$200&lt;&gt;"")),1)),"")</f>
        <v/>
      </c>
      <c r="B23" s="7" t="str">
        <f>IF($A23="","",SUMIFS('Raw Data'!$F:$F,'Raw Data'!$A:$A,$A23,'Raw Data'!$E:$E,B$3))</f>
        <v/>
      </c>
      <c r="C23" s="8" t="str">
        <f>IF($A23="","",SUMIFS('Raw Data'!$J:$J,'Raw Data'!$A:$A,$A23,'Raw Data'!$E:$E,B$3))</f>
        <v/>
      </c>
      <c r="D23" s="7" t="str">
        <f>IF($A23="","",SUMIFS('Raw Data'!$F:$F,'Raw Data'!$A:$A,$A23,'Raw Data'!$E:$E,D$3))</f>
        <v/>
      </c>
      <c r="E23" s="8" t="str">
        <f>IF($A23="","",SUMIFS('Raw Data'!$J:$J,'Raw Data'!$A:$A,$A23,'Raw Data'!$E:$E,D$3))</f>
        <v/>
      </c>
      <c r="F23" s="7" t="str">
        <f>IF($A23="","",SUMIFS('Raw Data'!$F:$F,'Raw Data'!$A:$A,$A23,'Raw Data'!$E:$E,F$3))</f>
        <v/>
      </c>
      <c r="G23" s="8" t="str">
        <f>IF($A23="","",SUMIFS('Raw Data'!$J:$J,'Raw Data'!$A:$A,$A23,'Raw Data'!$E:$E,F$3))</f>
        <v/>
      </c>
      <c r="H23" s="7" t="str">
        <f>IF($A23="","",SUMIFS('Raw Data'!$F:$F,'Raw Data'!$A:$A,$A23,'Raw Data'!$E:$E,H$3))</f>
        <v/>
      </c>
      <c r="I23" s="8" t="str">
        <f>IF($A23="","",SUMIFS('Raw Data'!$J:$J,'Raw Data'!$A:$A,$A23,'Raw Data'!$E:$E,H$3))</f>
        <v/>
      </c>
      <c r="J23" s="9" t="str">
        <f t="shared" si="0"/>
        <v/>
      </c>
      <c r="K23" s="10" t="str">
        <f t="shared" si="1"/>
        <v/>
      </c>
      <c r="L23" s="5" t="str">
        <f t="shared" si="2"/>
        <v/>
      </c>
    </row>
    <row r="24" spans="1:12" ht="15.75" customHeight="1" x14ac:dyDescent="0.3">
      <c r="A24" s="6" t="str">
        <f>IFERROR(INDEX('Raw Data'!$A$2:$A$200,_xlfn.AGGREGATE(15,6,(ROW('Raw Data'!$A$2:$A$200)-ROW('Raw Data'!$A$2)+1)/((COUNTIF($A$4:A23,'Raw Data'!$A$2:$A$200)=0)*('Raw Data'!$A$2:$A$200&lt;&gt;"")),1)),"")</f>
        <v/>
      </c>
      <c r="B24" s="7" t="str">
        <f>IF($A24="","",SUMIFS('Raw Data'!$F:$F,'Raw Data'!$A:$A,$A24,'Raw Data'!$E:$E,B$3))</f>
        <v/>
      </c>
      <c r="C24" s="8" t="str">
        <f>IF($A24="","",SUMIFS('Raw Data'!$J:$J,'Raw Data'!$A:$A,$A24,'Raw Data'!$E:$E,B$3))</f>
        <v/>
      </c>
      <c r="D24" s="7" t="str">
        <f>IF($A24="","",SUMIFS('Raw Data'!$F:$F,'Raw Data'!$A:$A,$A24,'Raw Data'!$E:$E,D$3))</f>
        <v/>
      </c>
      <c r="E24" s="8" t="str">
        <f>IF($A24="","",SUMIFS('Raw Data'!$J:$J,'Raw Data'!$A:$A,$A24,'Raw Data'!$E:$E,D$3))</f>
        <v/>
      </c>
      <c r="F24" s="7" t="str">
        <f>IF($A24="","",SUMIFS('Raw Data'!$F:$F,'Raw Data'!$A:$A,$A24,'Raw Data'!$E:$E,F$3))</f>
        <v/>
      </c>
      <c r="G24" s="8" t="str">
        <f>IF($A24="","",SUMIFS('Raw Data'!$J:$J,'Raw Data'!$A:$A,$A24,'Raw Data'!$E:$E,F$3))</f>
        <v/>
      </c>
      <c r="H24" s="7" t="str">
        <f>IF($A24="","",SUMIFS('Raw Data'!$F:$F,'Raw Data'!$A:$A,$A24,'Raw Data'!$E:$E,H$3))</f>
        <v/>
      </c>
      <c r="I24" s="8" t="str">
        <f>IF($A24="","",SUMIFS('Raw Data'!$J:$J,'Raw Data'!$A:$A,$A24,'Raw Data'!$E:$E,H$3))</f>
        <v/>
      </c>
      <c r="J24" s="9" t="str">
        <f t="shared" si="0"/>
        <v/>
      </c>
      <c r="K24" s="10" t="str">
        <f t="shared" si="1"/>
        <v/>
      </c>
      <c r="L24" s="5" t="str">
        <f t="shared" si="2"/>
        <v/>
      </c>
    </row>
    <row r="25" spans="1:12" ht="15.75" customHeight="1" x14ac:dyDescent="0.3">
      <c r="A25" s="6" t="str">
        <f>IFERROR(INDEX('Raw Data'!$A$2:$A$200,_xlfn.AGGREGATE(15,6,(ROW('Raw Data'!$A$2:$A$200)-ROW('Raw Data'!$A$2)+1)/((COUNTIF($A$4:A24,'Raw Data'!$A$2:$A$200)=0)*('Raw Data'!$A$2:$A$200&lt;&gt;"")),1)),"")</f>
        <v/>
      </c>
      <c r="B25" s="7" t="str">
        <f>IF($A25="","",SUMIFS('Raw Data'!$F:$F,'Raw Data'!$A:$A,$A25,'Raw Data'!$E:$E,B$3))</f>
        <v/>
      </c>
      <c r="C25" s="8" t="str">
        <f>IF($A25="","",SUMIFS('Raw Data'!$J:$J,'Raw Data'!$A:$A,$A25,'Raw Data'!$E:$E,B$3))</f>
        <v/>
      </c>
      <c r="D25" s="7" t="str">
        <f>IF($A25="","",SUMIFS('Raw Data'!$F:$F,'Raw Data'!$A:$A,$A25,'Raw Data'!$E:$E,D$3))</f>
        <v/>
      </c>
      <c r="E25" s="8" t="str">
        <f>IF($A25="","",SUMIFS('Raw Data'!$J:$J,'Raw Data'!$A:$A,$A25,'Raw Data'!$E:$E,D$3))</f>
        <v/>
      </c>
      <c r="F25" s="7" t="str">
        <f>IF($A25="","",SUMIFS('Raw Data'!$F:$F,'Raw Data'!$A:$A,$A25,'Raw Data'!$E:$E,F$3))</f>
        <v/>
      </c>
      <c r="G25" s="8" t="str">
        <f>IF($A25="","",SUMIFS('Raw Data'!$J:$J,'Raw Data'!$A:$A,$A25,'Raw Data'!$E:$E,F$3))</f>
        <v/>
      </c>
      <c r="H25" s="7" t="str">
        <f>IF($A25="","",SUMIFS('Raw Data'!$F:$F,'Raw Data'!$A:$A,$A25,'Raw Data'!$E:$E,H$3))</f>
        <v/>
      </c>
      <c r="I25" s="8" t="str">
        <f>IF($A25="","",SUMIFS('Raw Data'!$J:$J,'Raw Data'!$A:$A,$A25,'Raw Data'!$E:$E,H$3))</f>
        <v/>
      </c>
      <c r="J25" s="9" t="str">
        <f t="shared" si="0"/>
        <v/>
      </c>
      <c r="K25" s="10" t="str">
        <f t="shared" si="1"/>
        <v/>
      </c>
      <c r="L25" s="5" t="str">
        <f t="shared" si="2"/>
        <v/>
      </c>
    </row>
    <row r="26" spans="1:12" ht="15.75" customHeight="1" x14ac:dyDescent="0.3">
      <c r="A26" s="6" t="str">
        <f>IFERROR(INDEX('Raw Data'!$A$2:$A$200,_xlfn.AGGREGATE(15,6,(ROW('Raw Data'!$A$2:$A$200)-ROW('Raw Data'!$A$2)+1)/((COUNTIF($A$4:A25,'Raw Data'!$A$2:$A$200)=0)*('Raw Data'!$A$2:$A$200&lt;&gt;"")),1)),"")</f>
        <v/>
      </c>
      <c r="B26" s="7" t="str">
        <f>IF($A26="","",SUMIFS('Raw Data'!$F:$F,'Raw Data'!$A:$A,$A26,'Raw Data'!$E:$E,B$3))</f>
        <v/>
      </c>
      <c r="C26" s="8" t="str">
        <f>IF($A26="","",SUMIFS('Raw Data'!$J:$J,'Raw Data'!$A:$A,$A26,'Raw Data'!$E:$E,B$3))</f>
        <v/>
      </c>
      <c r="D26" s="7" t="str">
        <f>IF($A26="","",SUMIFS('Raw Data'!$F:$F,'Raw Data'!$A:$A,$A26,'Raw Data'!$E:$E,D$3))</f>
        <v/>
      </c>
      <c r="E26" s="8" t="str">
        <f>IF($A26="","",SUMIFS('Raw Data'!$J:$J,'Raw Data'!$A:$A,$A26,'Raw Data'!$E:$E,D$3))</f>
        <v/>
      </c>
      <c r="F26" s="7" t="str">
        <f>IF($A26="","",SUMIFS('Raw Data'!$F:$F,'Raw Data'!$A:$A,$A26,'Raw Data'!$E:$E,F$3))</f>
        <v/>
      </c>
      <c r="G26" s="8" t="str">
        <f>IF($A26="","",SUMIFS('Raw Data'!$J:$J,'Raw Data'!$A:$A,$A26,'Raw Data'!$E:$E,F$3))</f>
        <v/>
      </c>
      <c r="H26" s="7" t="str">
        <f>IF($A26="","",SUMIFS('Raw Data'!$F:$F,'Raw Data'!$A:$A,$A26,'Raw Data'!$E:$E,H$3))</f>
        <v/>
      </c>
      <c r="I26" s="8" t="str">
        <f>IF($A26="","",SUMIFS('Raw Data'!$J:$J,'Raw Data'!$A:$A,$A26,'Raw Data'!$E:$E,H$3))</f>
        <v/>
      </c>
      <c r="J26" s="9" t="str">
        <f t="shared" si="0"/>
        <v/>
      </c>
      <c r="K26" s="10" t="str">
        <f t="shared" si="1"/>
        <v/>
      </c>
      <c r="L26" s="5" t="str">
        <f t="shared" si="2"/>
        <v/>
      </c>
    </row>
    <row r="27" spans="1:12" ht="15.75" customHeight="1" x14ac:dyDescent="0.3">
      <c r="A27" s="6" t="str">
        <f>IFERROR(INDEX('Raw Data'!$A$2:$A$200,_xlfn.AGGREGATE(15,6,(ROW('Raw Data'!$A$2:$A$200)-ROW('Raw Data'!$A$2)+1)/((COUNTIF($A$4:A26,'Raw Data'!$A$2:$A$200)=0)*('Raw Data'!$A$2:$A$200&lt;&gt;"")),1)),"")</f>
        <v/>
      </c>
      <c r="B27" s="7" t="str">
        <f>IF($A27="","",SUMIFS('Raw Data'!$F:$F,'Raw Data'!$A:$A,$A27,'Raw Data'!$E:$E,B$3))</f>
        <v/>
      </c>
      <c r="C27" s="8" t="str">
        <f>IF($A27="","",SUMIFS('Raw Data'!$J:$J,'Raw Data'!$A:$A,$A27,'Raw Data'!$E:$E,B$3))</f>
        <v/>
      </c>
      <c r="D27" s="7" t="str">
        <f>IF($A27="","",SUMIFS('Raw Data'!$F:$F,'Raw Data'!$A:$A,$A27,'Raw Data'!$E:$E,D$3))</f>
        <v/>
      </c>
      <c r="E27" s="8" t="str">
        <f>IF($A27="","",SUMIFS('Raw Data'!$J:$J,'Raw Data'!$A:$A,$A27,'Raw Data'!$E:$E,D$3))</f>
        <v/>
      </c>
      <c r="F27" s="7" t="str">
        <f>IF($A27="","",SUMIFS('Raw Data'!$F:$F,'Raw Data'!$A:$A,$A27,'Raw Data'!$E:$E,F$3))</f>
        <v/>
      </c>
      <c r="G27" s="8" t="str">
        <f>IF($A27="","",SUMIFS('Raw Data'!$J:$J,'Raw Data'!$A:$A,$A27,'Raw Data'!$E:$E,F$3))</f>
        <v/>
      </c>
      <c r="H27" s="7" t="str">
        <f>IF($A27="","",SUMIFS('Raw Data'!$F:$F,'Raw Data'!$A:$A,$A27,'Raw Data'!$E:$E,H$3))</f>
        <v/>
      </c>
      <c r="I27" s="8" t="str">
        <f>IF($A27="","",SUMIFS('Raw Data'!$J:$J,'Raw Data'!$A:$A,$A27,'Raw Data'!$E:$E,H$3))</f>
        <v/>
      </c>
      <c r="J27" s="9" t="str">
        <f t="shared" si="0"/>
        <v/>
      </c>
      <c r="K27" s="10" t="str">
        <f t="shared" si="1"/>
        <v/>
      </c>
      <c r="L27" s="5" t="str">
        <f t="shared" si="2"/>
        <v/>
      </c>
    </row>
    <row r="28" spans="1:12" ht="15.75" customHeight="1" x14ac:dyDescent="0.3">
      <c r="A28" s="6" t="str">
        <f>IFERROR(INDEX('Raw Data'!$A$2:$A$200,_xlfn.AGGREGATE(15,6,(ROW('Raw Data'!$A$2:$A$200)-ROW('Raw Data'!$A$2)+1)/((COUNTIF($A$4:A27,'Raw Data'!$A$2:$A$200)=0)*('Raw Data'!$A$2:$A$200&lt;&gt;"")),1)),"")</f>
        <v/>
      </c>
      <c r="B28" s="7" t="str">
        <f>IF($A28="","",SUMIFS('Raw Data'!$F:$F,'Raw Data'!$A:$A,$A28,'Raw Data'!$E:$E,B$3))</f>
        <v/>
      </c>
      <c r="C28" s="8" t="str">
        <f>IF($A28="","",SUMIFS('Raw Data'!$J:$J,'Raw Data'!$A:$A,$A28,'Raw Data'!$E:$E,B$3))</f>
        <v/>
      </c>
      <c r="D28" s="7" t="str">
        <f>IF($A28="","",SUMIFS('Raw Data'!$F:$F,'Raw Data'!$A:$A,$A28,'Raw Data'!$E:$E,D$3))</f>
        <v/>
      </c>
      <c r="E28" s="8" t="str">
        <f>IF($A28="","",SUMIFS('Raw Data'!$J:$J,'Raw Data'!$A:$A,$A28,'Raw Data'!$E:$E,D$3))</f>
        <v/>
      </c>
      <c r="F28" s="7" t="str">
        <f>IF($A28="","",SUMIFS('Raw Data'!$F:$F,'Raw Data'!$A:$A,$A28,'Raw Data'!$E:$E,F$3))</f>
        <v/>
      </c>
      <c r="G28" s="8" t="str">
        <f>IF($A28="","",SUMIFS('Raw Data'!$J:$J,'Raw Data'!$A:$A,$A28,'Raw Data'!$E:$E,F$3))</f>
        <v/>
      </c>
      <c r="H28" s="7" t="str">
        <f>IF($A28="","",SUMIFS('Raw Data'!$F:$F,'Raw Data'!$A:$A,$A28,'Raw Data'!$E:$E,H$3))</f>
        <v/>
      </c>
      <c r="I28" s="8" t="str">
        <f>IF($A28="","",SUMIFS('Raw Data'!$J:$J,'Raw Data'!$A:$A,$A28,'Raw Data'!$E:$E,H$3))</f>
        <v/>
      </c>
      <c r="J28" s="9" t="str">
        <f t="shared" si="0"/>
        <v/>
      </c>
      <c r="K28" s="10" t="str">
        <f t="shared" si="1"/>
        <v/>
      </c>
      <c r="L28" s="5" t="str">
        <f t="shared" si="2"/>
        <v/>
      </c>
    </row>
    <row r="29" spans="1:12" ht="15.75" customHeight="1" x14ac:dyDescent="0.3">
      <c r="A29" s="6" t="str">
        <f>IFERROR(INDEX('Raw Data'!$A$2:$A$200,_xlfn.AGGREGATE(15,6,(ROW('Raw Data'!$A$2:$A$200)-ROW('Raw Data'!$A$2)+1)/((COUNTIF($A$4:A28,'Raw Data'!$A$2:$A$200)=0)*('Raw Data'!$A$2:$A$200&lt;&gt;"")),1)),"")</f>
        <v/>
      </c>
      <c r="B29" s="7" t="str">
        <f>IF($A29="","",SUMIFS('Raw Data'!$F:$F,'Raw Data'!$A:$A,$A29,'Raw Data'!$E:$E,B$3))</f>
        <v/>
      </c>
      <c r="C29" s="8" t="str">
        <f>IF($A29="","",SUMIFS('Raw Data'!$J:$J,'Raw Data'!$A:$A,$A29,'Raw Data'!$E:$E,B$3))</f>
        <v/>
      </c>
      <c r="D29" s="7" t="str">
        <f>IF($A29="","",SUMIFS('Raw Data'!$F:$F,'Raw Data'!$A:$A,$A29,'Raw Data'!$E:$E,D$3))</f>
        <v/>
      </c>
      <c r="E29" s="8" t="str">
        <f>IF($A29="","",SUMIFS('Raw Data'!$J:$J,'Raw Data'!$A:$A,$A29,'Raw Data'!$E:$E,D$3))</f>
        <v/>
      </c>
      <c r="F29" s="7" t="str">
        <f>IF($A29="","",SUMIFS('Raw Data'!$F:$F,'Raw Data'!$A:$A,$A29,'Raw Data'!$E:$E,F$3))</f>
        <v/>
      </c>
      <c r="G29" s="8" t="str">
        <f>IF($A29="","",SUMIFS('Raw Data'!$J:$J,'Raw Data'!$A:$A,$A29,'Raw Data'!$E:$E,F$3))</f>
        <v/>
      </c>
      <c r="H29" s="7" t="str">
        <f>IF($A29="","",SUMIFS('Raw Data'!$F:$F,'Raw Data'!$A:$A,$A29,'Raw Data'!$E:$E,H$3))</f>
        <v/>
      </c>
      <c r="I29" s="8" t="str">
        <f>IF($A29="","",SUMIFS('Raw Data'!$J:$J,'Raw Data'!$A:$A,$A29,'Raw Data'!$E:$E,H$3))</f>
        <v/>
      </c>
      <c r="J29" s="9" t="str">
        <f t="shared" si="0"/>
        <v/>
      </c>
      <c r="K29" s="10" t="str">
        <f t="shared" si="1"/>
        <v/>
      </c>
      <c r="L29" s="5" t="str">
        <f t="shared" si="2"/>
        <v/>
      </c>
    </row>
    <row r="30" spans="1:12" ht="15.75" customHeight="1" x14ac:dyDescent="0.3">
      <c r="A30" s="6" t="str">
        <f>IFERROR(INDEX('Raw Data'!$A$2:$A$200,_xlfn.AGGREGATE(15,6,(ROW('Raw Data'!$A$2:$A$200)-ROW('Raw Data'!$A$2)+1)/((COUNTIF($A$4:A29,'Raw Data'!$A$2:$A$200)=0)*('Raw Data'!$A$2:$A$200&lt;&gt;"")),1)),"")</f>
        <v/>
      </c>
      <c r="B30" s="7" t="str">
        <f>IF($A30="","",SUMIFS('Raw Data'!$F:$F,'Raw Data'!$A:$A,$A30,'Raw Data'!$E:$E,B$3))</f>
        <v/>
      </c>
      <c r="C30" s="8" t="str">
        <f>IF($A30="","",SUMIFS('Raw Data'!$J:$J,'Raw Data'!$A:$A,$A30,'Raw Data'!$E:$E,B$3))</f>
        <v/>
      </c>
      <c r="D30" s="7" t="str">
        <f>IF($A30="","",SUMIFS('Raw Data'!$F:$F,'Raw Data'!$A:$A,$A30,'Raw Data'!$E:$E,D$3))</f>
        <v/>
      </c>
      <c r="E30" s="8" t="str">
        <f>IF($A30="","",SUMIFS('Raw Data'!$J:$J,'Raw Data'!$A:$A,$A30,'Raw Data'!$E:$E,D$3))</f>
        <v/>
      </c>
      <c r="F30" s="7" t="str">
        <f>IF($A30="","",SUMIFS('Raw Data'!$F:$F,'Raw Data'!$A:$A,$A30,'Raw Data'!$E:$E,F$3))</f>
        <v/>
      </c>
      <c r="G30" s="8" t="str">
        <f>IF($A30="","",SUMIFS('Raw Data'!$J:$J,'Raw Data'!$A:$A,$A30,'Raw Data'!$E:$E,F$3))</f>
        <v/>
      </c>
      <c r="H30" s="7" t="str">
        <f>IF($A30="","",SUMIFS('Raw Data'!$F:$F,'Raw Data'!$A:$A,$A30,'Raw Data'!$E:$E,H$3))</f>
        <v/>
      </c>
      <c r="I30" s="8" t="str">
        <f>IF($A30="","",SUMIFS('Raw Data'!$J:$J,'Raw Data'!$A:$A,$A30,'Raw Data'!$E:$E,H$3))</f>
        <v/>
      </c>
      <c r="J30" s="9" t="str">
        <f t="shared" si="0"/>
        <v/>
      </c>
      <c r="K30" s="10" t="str">
        <f t="shared" si="1"/>
        <v/>
      </c>
      <c r="L30" s="5" t="str">
        <f t="shared" si="2"/>
        <v/>
      </c>
    </row>
    <row r="31" spans="1:12" ht="15.75" customHeight="1" x14ac:dyDescent="0.3">
      <c r="A31" s="6" t="str">
        <f>IFERROR(INDEX('Raw Data'!$A$2:$A$200,_xlfn.AGGREGATE(15,6,(ROW('Raw Data'!$A$2:$A$200)-ROW('Raw Data'!$A$2)+1)/((COUNTIF($A$4:A30,'Raw Data'!$A$2:$A$200)=0)*('Raw Data'!$A$2:$A$200&lt;&gt;"")),1)),"")</f>
        <v/>
      </c>
      <c r="B31" s="7" t="str">
        <f>IF($A31="","",SUMIFS('Raw Data'!$F:$F,'Raw Data'!$A:$A,$A31,'Raw Data'!$E:$E,B$3))</f>
        <v/>
      </c>
      <c r="C31" s="8" t="str">
        <f>IF($A31="","",SUMIFS('Raw Data'!$J:$J,'Raw Data'!$A:$A,$A31,'Raw Data'!$E:$E,B$3))</f>
        <v/>
      </c>
      <c r="D31" s="7" t="str">
        <f>IF($A31="","",SUMIFS('Raw Data'!$F:$F,'Raw Data'!$A:$A,$A31,'Raw Data'!$E:$E,D$3))</f>
        <v/>
      </c>
      <c r="E31" s="8" t="str">
        <f>IF($A31="","",SUMIFS('Raw Data'!$J:$J,'Raw Data'!$A:$A,$A31,'Raw Data'!$E:$E,D$3))</f>
        <v/>
      </c>
      <c r="F31" s="7" t="str">
        <f>IF($A31="","",SUMIFS('Raw Data'!$F:$F,'Raw Data'!$A:$A,$A31,'Raw Data'!$E:$E,F$3))</f>
        <v/>
      </c>
      <c r="G31" s="8" t="str">
        <f>IF($A31="","",SUMIFS('Raw Data'!$J:$J,'Raw Data'!$A:$A,$A31,'Raw Data'!$E:$E,F$3))</f>
        <v/>
      </c>
      <c r="H31" s="7" t="str">
        <f>IF($A31="","",SUMIFS('Raw Data'!$F:$F,'Raw Data'!$A:$A,$A31,'Raw Data'!$E:$E,H$3))</f>
        <v/>
      </c>
      <c r="I31" s="8" t="str">
        <f>IF($A31="","",SUMIFS('Raw Data'!$J:$J,'Raw Data'!$A:$A,$A31,'Raw Data'!$E:$E,H$3))</f>
        <v/>
      </c>
      <c r="J31" s="9" t="str">
        <f t="shared" si="0"/>
        <v/>
      </c>
      <c r="K31" s="10" t="str">
        <f t="shared" si="1"/>
        <v/>
      </c>
      <c r="L31" s="5" t="str">
        <f t="shared" si="2"/>
        <v/>
      </c>
    </row>
    <row r="32" spans="1:12" ht="15.75" customHeight="1" x14ac:dyDescent="0.3">
      <c r="A32" s="6" t="str">
        <f>IFERROR(INDEX('Raw Data'!$A$2:$A$200,_xlfn.AGGREGATE(15,6,(ROW('Raw Data'!$A$2:$A$200)-ROW('Raw Data'!$A$2)+1)/((COUNTIF($A$4:A31,'Raw Data'!$A$2:$A$200)=0)*('Raw Data'!$A$2:$A$200&lt;&gt;"")),1)),"")</f>
        <v/>
      </c>
      <c r="B32" s="7" t="str">
        <f>IF($A32="","",SUMIFS('Raw Data'!$F:$F,'Raw Data'!$A:$A,$A32,'Raw Data'!$E:$E,B$3))</f>
        <v/>
      </c>
      <c r="C32" s="8" t="str">
        <f>IF($A32="","",SUMIFS('Raw Data'!$J:$J,'Raw Data'!$A:$A,$A32,'Raw Data'!$E:$E,B$3))</f>
        <v/>
      </c>
      <c r="D32" s="7" t="str">
        <f>IF($A32="","",SUMIFS('Raw Data'!$F:$F,'Raw Data'!$A:$A,$A32,'Raw Data'!$E:$E,D$3))</f>
        <v/>
      </c>
      <c r="E32" s="8" t="str">
        <f>IF($A32="","",SUMIFS('Raw Data'!$J:$J,'Raw Data'!$A:$A,$A32,'Raw Data'!$E:$E,D$3))</f>
        <v/>
      </c>
      <c r="F32" s="7" t="str">
        <f>IF($A32="","",SUMIFS('Raw Data'!$F:$F,'Raw Data'!$A:$A,$A32,'Raw Data'!$E:$E,F$3))</f>
        <v/>
      </c>
      <c r="G32" s="8" t="str">
        <f>IF($A32="","",SUMIFS('Raw Data'!$J:$J,'Raw Data'!$A:$A,$A32,'Raw Data'!$E:$E,F$3))</f>
        <v/>
      </c>
      <c r="H32" s="7" t="str">
        <f>IF($A32="","",SUMIFS('Raw Data'!$F:$F,'Raw Data'!$A:$A,$A32,'Raw Data'!$E:$E,H$3))</f>
        <v/>
      </c>
      <c r="I32" s="8" t="str">
        <f>IF($A32="","",SUMIFS('Raw Data'!$J:$J,'Raw Data'!$A:$A,$A32,'Raw Data'!$E:$E,H$3))</f>
        <v/>
      </c>
      <c r="J32" s="9" t="str">
        <f t="shared" si="0"/>
        <v/>
      </c>
      <c r="K32" s="10" t="str">
        <f t="shared" si="1"/>
        <v/>
      </c>
      <c r="L32" s="5" t="str">
        <f t="shared" si="2"/>
        <v/>
      </c>
    </row>
    <row r="33" spans="1:12" ht="15.75" customHeight="1" x14ac:dyDescent="0.3">
      <c r="A33" s="6" t="str">
        <f>IFERROR(INDEX('Raw Data'!$A$2:$A$200,_xlfn.AGGREGATE(15,6,(ROW('Raw Data'!$A$2:$A$200)-ROW('Raw Data'!$A$2)+1)/((COUNTIF($A$4:A32,'Raw Data'!$A$2:$A$200)=0)*('Raw Data'!$A$2:$A$200&lt;&gt;"")),1)),"")</f>
        <v/>
      </c>
      <c r="B33" s="7" t="str">
        <f>IF($A33="","",SUMIFS('Raw Data'!$F:$F,'Raw Data'!$A:$A,$A33,'Raw Data'!$E:$E,B$3))</f>
        <v/>
      </c>
      <c r="C33" s="8" t="str">
        <f>IF($A33="","",SUMIFS('Raw Data'!$J:$J,'Raw Data'!$A:$A,$A33,'Raw Data'!$E:$E,B$3))</f>
        <v/>
      </c>
      <c r="D33" s="7" t="str">
        <f>IF($A33="","",SUMIFS('Raw Data'!$F:$F,'Raw Data'!$A:$A,$A33,'Raw Data'!$E:$E,D$3))</f>
        <v/>
      </c>
      <c r="E33" s="8" t="str">
        <f>IF($A33="","",SUMIFS('Raw Data'!$J:$J,'Raw Data'!$A:$A,$A33,'Raw Data'!$E:$E,D$3))</f>
        <v/>
      </c>
      <c r="F33" s="7" t="str">
        <f>IF($A33="","",SUMIFS('Raw Data'!$F:$F,'Raw Data'!$A:$A,$A33,'Raw Data'!$E:$E,F$3))</f>
        <v/>
      </c>
      <c r="G33" s="8" t="str">
        <f>IF($A33="","",SUMIFS('Raw Data'!$J:$J,'Raw Data'!$A:$A,$A33,'Raw Data'!$E:$E,F$3))</f>
        <v/>
      </c>
      <c r="H33" s="7" t="str">
        <f>IF($A33="","",SUMIFS('Raw Data'!$F:$F,'Raw Data'!$A:$A,$A33,'Raw Data'!$E:$E,H$3))</f>
        <v/>
      </c>
      <c r="I33" s="8" t="str">
        <f>IF($A33="","",SUMIFS('Raw Data'!$J:$J,'Raw Data'!$A:$A,$A33,'Raw Data'!$E:$E,H$3))</f>
        <v/>
      </c>
      <c r="J33" s="9" t="str">
        <f t="shared" si="0"/>
        <v/>
      </c>
      <c r="K33" s="10" t="str">
        <f t="shared" si="1"/>
        <v/>
      </c>
      <c r="L33" s="5" t="str">
        <f t="shared" si="2"/>
        <v/>
      </c>
    </row>
    <row r="34" spans="1:12" ht="15.75" customHeight="1" x14ac:dyDescent="0.3">
      <c r="A34" s="6" t="str">
        <f>IFERROR(INDEX('Raw Data'!$A$2:$A$200,_xlfn.AGGREGATE(15,6,(ROW('Raw Data'!$A$2:$A$200)-ROW('Raw Data'!$A$2)+1)/((COUNTIF($A$4:A33,'Raw Data'!$A$2:$A$200)=0)*('Raw Data'!$A$2:$A$200&lt;&gt;"")),1)),"")</f>
        <v/>
      </c>
      <c r="B34" s="7" t="str">
        <f>IF($A34="","",SUMIFS('Raw Data'!$F:$F,'Raw Data'!$A:$A,$A34,'Raw Data'!$E:$E,B$3))</f>
        <v/>
      </c>
      <c r="C34" s="8" t="str">
        <f>IF($A34="","",SUMIFS('Raw Data'!$J:$J,'Raw Data'!$A:$A,$A34,'Raw Data'!$E:$E,B$3))</f>
        <v/>
      </c>
      <c r="D34" s="7" t="str">
        <f>IF($A34="","",SUMIFS('Raw Data'!$F:$F,'Raw Data'!$A:$A,$A34,'Raw Data'!$E:$E,D$3))</f>
        <v/>
      </c>
      <c r="E34" s="8" t="str">
        <f>IF($A34="","",SUMIFS('Raw Data'!$J:$J,'Raw Data'!$A:$A,$A34,'Raw Data'!$E:$E,D$3))</f>
        <v/>
      </c>
      <c r="F34" s="7" t="str">
        <f>IF($A34="","",SUMIFS('Raw Data'!$F:$F,'Raw Data'!$A:$A,$A34,'Raw Data'!$E:$E,F$3))</f>
        <v/>
      </c>
      <c r="G34" s="8" t="str">
        <f>IF($A34="","",SUMIFS('Raw Data'!$J:$J,'Raw Data'!$A:$A,$A34,'Raw Data'!$E:$E,F$3))</f>
        <v/>
      </c>
      <c r="H34" s="7" t="str">
        <f>IF($A34="","",SUMIFS('Raw Data'!$F:$F,'Raw Data'!$A:$A,$A34,'Raw Data'!$E:$E,H$3))</f>
        <v/>
      </c>
      <c r="I34" s="8" t="str">
        <f>IF($A34="","",SUMIFS('Raw Data'!$J:$J,'Raw Data'!$A:$A,$A34,'Raw Data'!$E:$E,H$3))</f>
        <v/>
      </c>
      <c r="J34" s="9" t="str">
        <f t="shared" si="0"/>
        <v/>
      </c>
      <c r="K34" s="10" t="str">
        <f t="shared" si="1"/>
        <v/>
      </c>
      <c r="L34" s="5" t="str">
        <f t="shared" si="2"/>
        <v/>
      </c>
    </row>
    <row r="35" spans="1:12" ht="15.75" customHeight="1" x14ac:dyDescent="0.3">
      <c r="A35" s="6" t="str">
        <f>IFERROR(INDEX('Raw Data'!$A$2:$A$200,_xlfn.AGGREGATE(15,6,(ROW('Raw Data'!$A$2:$A$200)-ROW('Raw Data'!$A$2)+1)/((COUNTIF($A$4:A34,'Raw Data'!$A$2:$A$200)=0)*('Raw Data'!$A$2:$A$200&lt;&gt;"")),1)),"")</f>
        <v/>
      </c>
      <c r="B35" s="7" t="str">
        <f>IF($A35="","",SUMIFS('Raw Data'!$F:$F,'Raw Data'!$A:$A,$A35,'Raw Data'!$E:$E,B$3))</f>
        <v/>
      </c>
      <c r="C35" s="8" t="str">
        <f>IF($A35="","",SUMIFS('Raw Data'!$J:$J,'Raw Data'!$A:$A,$A35,'Raw Data'!$E:$E,B$3))</f>
        <v/>
      </c>
      <c r="D35" s="7" t="str">
        <f>IF($A35="","",SUMIFS('Raw Data'!$F:$F,'Raw Data'!$A:$A,$A35,'Raw Data'!$E:$E,D$3))</f>
        <v/>
      </c>
      <c r="E35" s="8" t="str">
        <f>IF($A35="","",SUMIFS('Raw Data'!$J:$J,'Raw Data'!$A:$A,$A35,'Raw Data'!$E:$E,D$3))</f>
        <v/>
      </c>
      <c r="F35" s="7" t="str">
        <f>IF($A35="","",SUMIFS('Raw Data'!$F:$F,'Raw Data'!$A:$A,$A35,'Raw Data'!$E:$E,F$3))</f>
        <v/>
      </c>
      <c r="G35" s="8" t="str">
        <f>IF($A35="","",SUMIFS('Raw Data'!$J:$J,'Raw Data'!$A:$A,$A35,'Raw Data'!$E:$E,F$3))</f>
        <v/>
      </c>
      <c r="H35" s="7" t="str">
        <f>IF($A35="","",SUMIFS('Raw Data'!$F:$F,'Raw Data'!$A:$A,$A35,'Raw Data'!$E:$E,H$3))</f>
        <v/>
      </c>
      <c r="I35" s="8" t="str">
        <f>IF($A35="","",SUMIFS('Raw Data'!$J:$J,'Raw Data'!$A:$A,$A35,'Raw Data'!$E:$E,H$3))</f>
        <v/>
      </c>
      <c r="J35" s="9" t="str">
        <f t="shared" si="0"/>
        <v/>
      </c>
      <c r="K35" s="10" t="str">
        <f t="shared" si="1"/>
        <v/>
      </c>
      <c r="L35" s="5" t="str">
        <f t="shared" si="2"/>
        <v/>
      </c>
    </row>
    <row r="36" spans="1:12" ht="15.75" customHeight="1" x14ac:dyDescent="0.3">
      <c r="A36" s="6" t="str">
        <f>IFERROR(INDEX('Raw Data'!$A$2:$A$200,_xlfn.AGGREGATE(15,6,(ROW('Raw Data'!$A$2:$A$200)-ROW('Raw Data'!$A$2)+1)/((COUNTIF($A$4:A35,'Raw Data'!$A$2:$A$200)=0)*('Raw Data'!$A$2:$A$200&lt;&gt;"")),1)),"")</f>
        <v/>
      </c>
      <c r="B36" s="7" t="str">
        <f>IF($A36="","",SUMIFS('Raw Data'!$F:$F,'Raw Data'!$A:$A,$A36,'Raw Data'!$E:$E,B$3))</f>
        <v/>
      </c>
      <c r="C36" s="8" t="str">
        <f>IF($A36="","",SUMIFS('Raw Data'!$J:$J,'Raw Data'!$A:$A,$A36,'Raw Data'!$E:$E,B$3))</f>
        <v/>
      </c>
      <c r="D36" s="7" t="str">
        <f>IF($A36="","",SUMIFS('Raw Data'!$F:$F,'Raw Data'!$A:$A,$A36,'Raw Data'!$E:$E,D$3))</f>
        <v/>
      </c>
      <c r="E36" s="8" t="str">
        <f>IF($A36="","",SUMIFS('Raw Data'!$J:$J,'Raw Data'!$A:$A,$A36,'Raw Data'!$E:$E,D$3))</f>
        <v/>
      </c>
      <c r="F36" s="7" t="str">
        <f>IF($A36="","",SUMIFS('Raw Data'!$F:$F,'Raw Data'!$A:$A,$A36,'Raw Data'!$E:$E,F$3))</f>
        <v/>
      </c>
      <c r="G36" s="8" t="str">
        <f>IF($A36="","",SUMIFS('Raw Data'!$J:$J,'Raw Data'!$A:$A,$A36,'Raw Data'!$E:$E,F$3))</f>
        <v/>
      </c>
      <c r="H36" s="7" t="str">
        <f>IF($A36="","",SUMIFS('Raw Data'!$F:$F,'Raw Data'!$A:$A,$A36,'Raw Data'!$E:$E,H$3))</f>
        <v/>
      </c>
      <c r="I36" s="8" t="str">
        <f>IF($A36="","",SUMIFS('Raw Data'!$J:$J,'Raw Data'!$A:$A,$A36,'Raw Data'!$E:$E,H$3))</f>
        <v/>
      </c>
      <c r="J36" s="9" t="str">
        <f t="shared" si="0"/>
        <v/>
      </c>
      <c r="K36" s="10" t="str">
        <f t="shared" si="1"/>
        <v/>
      </c>
      <c r="L36" s="5" t="str">
        <f t="shared" si="2"/>
        <v/>
      </c>
    </row>
    <row r="37" spans="1:12" ht="15.75" customHeight="1" x14ac:dyDescent="0.3">
      <c r="A37" s="6" t="str">
        <f>IFERROR(INDEX('Raw Data'!$A$2:$A$200,_xlfn.AGGREGATE(15,6,(ROW('Raw Data'!$A$2:$A$200)-ROW('Raw Data'!$A$2)+1)/((COUNTIF($A$4:A36,'Raw Data'!$A$2:$A$200)=0)*('Raw Data'!$A$2:$A$200&lt;&gt;"")),1)),"")</f>
        <v/>
      </c>
      <c r="B37" s="7" t="str">
        <f>IF($A37="","",SUMIFS('Raw Data'!$F:$F,'Raw Data'!$A:$A,$A37,'Raw Data'!$E:$E,B$3))</f>
        <v/>
      </c>
      <c r="C37" s="8" t="str">
        <f>IF($A37="","",SUMIFS('Raw Data'!$J:$J,'Raw Data'!$A:$A,$A37,'Raw Data'!$E:$E,B$3))</f>
        <v/>
      </c>
      <c r="D37" s="7" t="str">
        <f>IF($A37="","",SUMIFS('Raw Data'!$F:$F,'Raw Data'!$A:$A,$A37,'Raw Data'!$E:$E,D$3))</f>
        <v/>
      </c>
      <c r="E37" s="8" t="str">
        <f>IF($A37="","",SUMIFS('Raw Data'!$J:$J,'Raw Data'!$A:$A,$A37,'Raw Data'!$E:$E,D$3))</f>
        <v/>
      </c>
      <c r="F37" s="7" t="str">
        <f>IF($A37="","",SUMIFS('Raw Data'!$F:$F,'Raw Data'!$A:$A,$A37,'Raw Data'!$E:$E,F$3))</f>
        <v/>
      </c>
      <c r="G37" s="8" t="str">
        <f>IF($A37="","",SUMIFS('Raw Data'!$J:$J,'Raw Data'!$A:$A,$A37,'Raw Data'!$E:$E,F$3))</f>
        <v/>
      </c>
      <c r="H37" s="7" t="str">
        <f>IF($A37="","",SUMIFS('Raw Data'!$F:$F,'Raw Data'!$A:$A,$A37,'Raw Data'!$E:$E,H$3))</f>
        <v/>
      </c>
      <c r="I37" s="8" t="str">
        <f>IF($A37="","",SUMIFS('Raw Data'!$J:$J,'Raw Data'!$A:$A,$A37,'Raw Data'!$E:$E,H$3))</f>
        <v/>
      </c>
      <c r="J37" s="9" t="str">
        <f t="shared" ref="J37:J68" si="3">IF($A37="","",B37+D37+F37+H37)</f>
        <v/>
      </c>
      <c r="K37" s="10" t="str">
        <f t="shared" ref="K37:K68" si="4">IF($A37="","",C37+E37+G37+I37)</f>
        <v/>
      </c>
      <c r="L37" s="5" t="str">
        <f t="shared" ref="L37:L68" si="5">IF($A37="","",J37+K37)</f>
        <v/>
      </c>
    </row>
    <row r="38" spans="1:12" ht="15.75" customHeight="1" x14ac:dyDescent="0.3">
      <c r="A38" s="6" t="str">
        <f>IFERROR(INDEX('Raw Data'!$A$2:$A$200,_xlfn.AGGREGATE(15,6,(ROW('Raw Data'!$A$2:$A$200)-ROW('Raw Data'!$A$2)+1)/((COUNTIF($A$4:A37,'Raw Data'!$A$2:$A$200)=0)*('Raw Data'!$A$2:$A$200&lt;&gt;"")),1)),"")</f>
        <v/>
      </c>
      <c r="B38" s="7" t="str">
        <f>IF($A38="","",SUMIFS('Raw Data'!$F:$F,'Raw Data'!$A:$A,$A38,'Raw Data'!$E:$E,B$3))</f>
        <v/>
      </c>
      <c r="C38" s="8" t="str">
        <f>IF($A38="","",SUMIFS('Raw Data'!$J:$J,'Raw Data'!$A:$A,$A38,'Raw Data'!$E:$E,B$3))</f>
        <v/>
      </c>
      <c r="D38" s="7" t="str">
        <f>IF($A38="","",SUMIFS('Raw Data'!$F:$F,'Raw Data'!$A:$A,$A38,'Raw Data'!$E:$E,D$3))</f>
        <v/>
      </c>
      <c r="E38" s="8" t="str">
        <f>IF($A38="","",SUMIFS('Raw Data'!$J:$J,'Raw Data'!$A:$A,$A38,'Raw Data'!$E:$E,D$3))</f>
        <v/>
      </c>
      <c r="F38" s="7" t="str">
        <f>IF($A38="","",SUMIFS('Raw Data'!$F:$F,'Raw Data'!$A:$A,$A38,'Raw Data'!$E:$E,F$3))</f>
        <v/>
      </c>
      <c r="G38" s="8" t="str">
        <f>IF($A38="","",SUMIFS('Raw Data'!$J:$J,'Raw Data'!$A:$A,$A38,'Raw Data'!$E:$E,F$3))</f>
        <v/>
      </c>
      <c r="H38" s="7" t="str">
        <f>IF($A38="","",SUMIFS('Raw Data'!$F:$F,'Raw Data'!$A:$A,$A38,'Raw Data'!$E:$E,H$3))</f>
        <v/>
      </c>
      <c r="I38" s="8" t="str">
        <f>IF($A38="","",SUMIFS('Raw Data'!$J:$J,'Raw Data'!$A:$A,$A38,'Raw Data'!$E:$E,H$3))</f>
        <v/>
      </c>
      <c r="J38" s="9" t="str">
        <f t="shared" si="3"/>
        <v/>
      </c>
      <c r="K38" s="10" t="str">
        <f t="shared" si="4"/>
        <v/>
      </c>
      <c r="L38" s="5" t="str">
        <f t="shared" si="5"/>
        <v/>
      </c>
    </row>
    <row r="39" spans="1:12" ht="15.75" customHeight="1" x14ac:dyDescent="0.3">
      <c r="A39" s="6" t="str">
        <f>IFERROR(INDEX('Raw Data'!$A$2:$A$200,_xlfn.AGGREGATE(15,6,(ROW('Raw Data'!$A$2:$A$200)-ROW('Raw Data'!$A$2)+1)/((COUNTIF($A$4:A38,'Raw Data'!$A$2:$A$200)=0)*('Raw Data'!$A$2:$A$200&lt;&gt;"")),1)),"")</f>
        <v/>
      </c>
      <c r="B39" s="7" t="str">
        <f>IF($A39="","",SUMIFS('Raw Data'!$F:$F,'Raw Data'!$A:$A,$A39,'Raw Data'!$E:$E,B$3))</f>
        <v/>
      </c>
      <c r="C39" s="8" t="str">
        <f>IF($A39="","",SUMIFS('Raw Data'!$J:$J,'Raw Data'!$A:$A,$A39,'Raw Data'!$E:$E,B$3))</f>
        <v/>
      </c>
      <c r="D39" s="7" t="str">
        <f>IF($A39="","",SUMIFS('Raw Data'!$F:$F,'Raw Data'!$A:$A,$A39,'Raw Data'!$E:$E,D$3))</f>
        <v/>
      </c>
      <c r="E39" s="8" t="str">
        <f>IF($A39="","",SUMIFS('Raw Data'!$J:$J,'Raw Data'!$A:$A,$A39,'Raw Data'!$E:$E,D$3))</f>
        <v/>
      </c>
      <c r="F39" s="7" t="str">
        <f>IF($A39="","",SUMIFS('Raw Data'!$F:$F,'Raw Data'!$A:$A,$A39,'Raw Data'!$E:$E,F$3))</f>
        <v/>
      </c>
      <c r="G39" s="8" t="str">
        <f>IF($A39="","",SUMIFS('Raw Data'!$J:$J,'Raw Data'!$A:$A,$A39,'Raw Data'!$E:$E,F$3))</f>
        <v/>
      </c>
      <c r="H39" s="7" t="str">
        <f>IF($A39="","",SUMIFS('Raw Data'!$F:$F,'Raw Data'!$A:$A,$A39,'Raw Data'!$E:$E,H$3))</f>
        <v/>
      </c>
      <c r="I39" s="8" t="str">
        <f>IF($A39="","",SUMIFS('Raw Data'!$J:$J,'Raw Data'!$A:$A,$A39,'Raw Data'!$E:$E,H$3))</f>
        <v/>
      </c>
      <c r="J39" s="9" t="str">
        <f t="shared" si="3"/>
        <v/>
      </c>
      <c r="K39" s="10" t="str">
        <f t="shared" si="4"/>
        <v/>
      </c>
      <c r="L39" s="5" t="str">
        <f t="shared" si="5"/>
        <v/>
      </c>
    </row>
    <row r="40" spans="1:12" ht="15.75" customHeight="1" x14ac:dyDescent="0.3">
      <c r="A40" s="6" t="str">
        <f>IFERROR(INDEX('Raw Data'!$A$2:$A$200,_xlfn.AGGREGATE(15,6,(ROW('Raw Data'!$A$2:$A$200)-ROW('Raw Data'!$A$2)+1)/((COUNTIF($A$4:A39,'Raw Data'!$A$2:$A$200)=0)*('Raw Data'!$A$2:$A$200&lt;&gt;"")),1)),"")</f>
        <v/>
      </c>
      <c r="B40" s="7" t="str">
        <f>IF($A40="","",SUMIFS('Raw Data'!$F:$F,'Raw Data'!$A:$A,$A40,'Raw Data'!$E:$E,B$3))</f>
        <v/>
      </c>
      <c r="C40" s="8" t="str">
        <f>IF($A40="","",SUMIFS('Raw Data'!$J:$J,'Raw Data'!$A:$A,$A40,'Raw Data'!$E:$E,B$3))</f>
        <v/>
      </c>
      <c r="D40" s="7" t="str">
        <f>IF($A40="","",SUMIFS('Raw Data'!$F:$F,'Raw Data'!$A:$A,$A40,'Raw Data'!$E:$E,D$3))</f>
        <v/>
      </c>
      <c r="E40" s="8" t="str">
        <f>IF($A40="","",SUMIFS('Raw Data'!$J:$J,'Raw Data'!$A:$A,$A40,'Raw Data'!$E:$E,D$3))</f>
        <v/>
      </c>
      <c r="F40" s="7" t="str">
        <f>IF($A40="","",SUMIFS('Raw Data'!$F:$F,'Raw Data'!$A:$A,$A40,'Raw Data'!$E:$E,F$3))</f>
        <v/>
      </c>
      <c r="G40" s="8" t="str">
        <f>IF($A40="","",SUMIFS('Raw Data'!$J:$J,'Raw Data'!$A:$A,$A40,'Raw Data'!$E:$E,F$3))</f>
        <v/>
      </c>
      <c r="H40" s="7" t="str">
        <f>IF($A40="","",SUMIFS('Raw Data'!$F:$F,'Raw Data'!$A:$A,$A40,'Raw Data'!$E:$E,H$3))</f>
        <v/>
      </c>
      <c r="I40" s="8" t="str">
        <f>IF($A40="","",SUMIFS('Raw Data'!$J:$J,'Raw Data'!$A:$A,$A40,'Raw Data'!$E:$E,H$3))</f>
        <v/>
      </c>
      <c r="J40" s="9" t="str">
        <f t="shared" si="3"/>
        <v/>
      </c>
      <c r="K40" s="10" t="str">
        <f t="shared" si="4"/>
        <v/>
      </c>
      <c r="L40" s="5" t="str">
        <f t="shared" si="5"/>
        <v/>
      </c>
    </row>
    <row r="41" spans="1:12" ht="15.75" customHeight="1" x14ac:dyDescent="0.3">
      <c r="A41" s="6" t="str">
        <f>IFERROR(INDEX('Raw Data'!$A$2:$A$200,_xlfn.AGGREGATE(15,6,(ROW('Raw Data'!$A$2:$A$200)-ROW('Raw Data'!$A$2)+1)/((COUNTIF($A$4:A40,'Raw Data'!$A$2:$A$200)=0)*('Raw Data'!$A$2:$A$200&lt;&gt;"")),1)),"")</f>
        <v/>
      </c>
      <c r="B41" s="7" t="str">
        <f>IF($A41="","",SUMIFS('Raw Data'!$F:$F,'Raw Data'!$A:$A,$A41,'Raw Data'!$E:$E,B$3))</f>
        <v/>
      </c>
      <c r="C41" s="8" t="str">
        <f>IF($A41="","",SUMIFS('Raw Data'!$J:$J,'Raw Data'!$A:$A,$A41,'Raw Data'!$E:$E,B$3))</f>
        <v/>
      </c>
      <c r="D41" s="7" t="str">
        <f>IF($A41="","",SUMIFS('Raw Data'!$F:$F,'Raw Data'!$A:$A,$A41,'Raw Data'!$E:$E,D$3))</f>
        <v/>
      </c>
      <c r="E41" s="8" t="str">
        <f>IF($A41="","",SUMIFS('Raw Data'!$J:$J,'Raw Data'!$A:$A,$A41,'Raw Data'!$E:$E,D$3))</f>
        <v/>
      </c>
      <c r="F41" s="7" t="str">
        <f>IF($A41="","",SUMIFS('Raw Data'!$F:$F,'Raw Data'!$A:$A,$A41,'Raw Data'!$E:$E,F$3))</f>
        <v/>
      </c>
      <c r="G41" s="8" t="str">
        <f>IF($A41="","",SUMIFS('Raw Data'!$J:$J,'Raw Data'!$A:$A,$A41,'Raw Data'!$E:$E,F$3))</f>
        <v/>
      </c>
      <c r="H41" s="7" t="str">
        <f>IF($A41="","",SUMIFS('Raw Data'!$F:$F,'Raw Data'!$A:$A,$A41,'Raw Data'!$E:$E,H$3))</f>
        <v/>
      </c>
      <c r="I41" s="8" t="str">
        <f>IF($A41="","",SUMIFS('Raw Data'!$J:$J,'Raw Data'!$A:$A,$A41,'Raw Data'!$E:$E,H$3))</f>
        <v/>
      </c>
      <c r="J41" s="9" t="str">
        <f t="shared" si="3"/>
        <v/>
      </c>
      <c r="K41" s="10" t="str">
        <f t="shared" si="4"/>
        <v/>
      </c>
      <c r="L41" s="5" t="str">
        <f t="shared" si="5"/>
        <v/>
      </c>
    </row>
    <row r="42" spans="1:12" ht="15.75" customHeight="1" x14ac:dyDescent="0.3">
      <c r="A42" s="6" t="str">
        <f>IFERROR(INDEX('Raw Data'!$A$2:$A$200,_xlfn.AGGREGATE(15,6,(ROW('Raw Data'!$A$2:$A$200)-ROW('Raw Data'!$A$2)+1)/((COUNTIF($A$4:A41,'Raw Data'!$A$2:$A$200)=0)*('Raw Data'!$A$2:$A$200&lt;&gt;"")),1)),"")</f>
        <v/>
      </c>
      <c r="B42" s="7" t="str">
        <f>IF($A42="","",SUMIFS('Raw Data'!$F:$F,'Raw Data'!$A:$A,$A42,'Raw Data'!$E:$E,B$3))</f>
        <v/>
      </c>
      <c r="C42" s="8" t="str">
        <f>IF($A42="","",SUMIFS('Raw Data'!$J:$J,'Raw Data'!$A:$A,$A42,'Raw Data'!$E:$E,B$3))</f>
        <v/>
      </c>
      <c r="D42" s="7" t="str">
        <f>IF($A42="","",SUMIFS('Raw Data'!$F:$F,'Raw Data'!$A:$A,$A42,'Raw Data'!$E:$E,D$3))</f>
        <v/>
      </c>
      <c r="E42" s="8" t="str">
        <f>IF($A42="","",SUMIFS('Raw Data'!$J:$J,'Raw Data'!$A:$A,$A42,'Raw Data'!$E:$E,D$3))</f>
        <v/>
      </c>
      <c r="F42" s="7" t="str">
        <f>IF($A42="","",SUMIFS('Raw Data'!$F:$F,'Raw Data'!$A:$A,$A42,'Raw Data'!$E:$E,F$3))</f>
        <v/>
      </c>
      <c r="G42" s="8" t="str">
        <f>IF($A42="","",SUMIFS('Raw Data'!$J:$J,'Raw Data'!$A:$A,$A42,'Raw Data'!$E:$E,F$3))</f>
        <v/>
      </c>
      <c r="H42" s="7" t="str">
        <f>IF($A42="","",SUMIFS('Raw Data'!$F:$F,'Raw Data'!$A:$A,$A42,'Raw Data'!$E:$E,H$3))</f>
        <v/>
      </c>
      <c r="I42" s="8" t="str">
        <f>IF($A42="","",SUMIFS('Raw Data'!$J:$J,'Raw Data'!$A:$A,$A42,'Raw Data'!$E:$E,H$3))</f>
        <v/>
      </c>
      <c r="J42" s="9" t="str">
        <f t="shared" si="3"/>
        <v/>
      </c>
      <c r="K42" s="10" t="str">
        <f t="shared" si="4"/>
        <v/>
      </c>
      <c r="L42" s="5" t="str">
        <f t="shared" si="5"/>
        <v/>
      </c>
    </row>
    <row r="43" spans="1:12" ht="15.75" customHeight="1" x14ac:dyDescent="0.3">
      <c r="A43" s="6" t="str">
        <f>IFERROR(INDEX('Raw Data'!$A$2:$A$200,_xlfn.AGGREGATE(15,6,(ROW('Raw Data'!$A$2:$A$200)-ROW('Raw Data'!$A$2)+1)/((COUNTIF($A$4:A42,'Raw Data'!$A$2:$A$200)=0)*('Raw Data'!$A$2:$A$200&lt;&gt;"")),1)),"")</f>
        <v/>
      </c>
      <c r="B43" s="7" t="str">
        <f>IF($A43="","",SUMIFS('Raw Data'!$F:$F,'Raw Data'!$A:$A,$A43,'Raw Data'!$E:$E,B$3))</f>
        <v/>
      </c>
      <c r="C43" s="8" t="str">
        <f>IF($A43="","",SUMIFS('Raw Data'!$J:$J,'Raw Data'!$A:$A,$A43,'Raw Data'!$E:$E,B$3))</f>
        <v/>
      </c>
      <c r="D43" s="7" t="str">
        <f>IF($A43="","",SUMIFS('Raw Data'!$F:$F,'Raw Data'!$A:$A,$A43,'Raw Data'!$E:$E,D$3))</f>
        <v/>
      </c>
      <c r="E43" s="8" t="str">
        <f>IF($A43="","",SUMIFS('Raw Data'!$J:$J,'Raw Data'!$A:$A,$A43,'Raw Data'!$E:$E,D$3))</f>
        <v/>
      </c>
      <c r="F43" s="7" t="str">
        <f>IF($A43="","",SUMIFS('Raw Data'!$F:$F,'Raw Data'!$A:$A,$A43,'Raw Data'!$E:$E,F$3))</f>
        <v/>
      </c>
      <c r="G43" s="8" t="str">
        <f>IF($A43="","",SUMIFS('Raw Data'!$J:$J,'Raw Data'!$A:$A,$A43,'Raw Data'!$E:$E,F$3))</f>
        <v/>
      </c>
      <c r="H43" s="7" t="str">
        <f>IF($A43="","",SUMIFS('Raw Data'!$F:$F,'Raw Data'!$A:$A,$A43,'Raw Data'!$E:$E,H$3))</f>
        <v/>
      </c>
      <c r="I43" s="8" t="str">
        <f>IF($A43="","",SUMIFS('Raw Data'!$J:$J,'Raw Data'!$A:$A,$A43,'Raw Data'!$E:$E,H$3))</f>
        <v/>
      </c>
      <c r="J43" s="9" t="str">
        <f t="shared" si="3"/>
        <v/>
      </c>
      <c r="K43" s="10" t="str">
        <f t="shared" si="4"/>
        <v/>
      </c>
      <c r="L43" s="5" t="str">
        <f t="shared" si="5"/>
        <v/>
      </c>
    </row>
    <row r="44" spans="1:12" ht="15.75" customHeight="1" x14ac:dyDescent="0.3">
      <c r="A44" s="6" t="str">
        <f>IFERROR(INDEX('Raw Data'!$A$2:$A$200,_xlfn.AGGREGATE(15,6,(ROW('Raw Data'!$A$2:$A$200)-ROW('Raw Data'!$A$2)+1)/((COUNTIF($A$4:A43,'Raw Data'!$A$2:$A$200)=0)*('Raw Data'!$A$2:$A$200&lt;&gt;"")),1)),"")</f>
        <v/>
      </c>
      <c r="B44" s="7" t="str">
        <f>IF($A44="","",SUMIFS('Raw Data'!$F:$F,'Raw Data'!$A:$A,$A44,'Raw Data'!$E:$E,B$3))</f>
        <v/>
      </c>
      <c r="C44" s="8" t="str">
        <f>IF($A44="","",SUMIFS('Raw Data'!$J:$J,'Raw Data'!$A:$A,$A44,'Raw Data'!$E:$E,B$3))</f>
        <v/>
      </c>
      <c r="D44" s="7" t="str">
        <f>IF($A44="","",SUMIFS('Raw Data'!$F:$F,'Raw Data'!$A:$A,$A44,'Raw Data'!$E:$E,D$3))</f>
        <v/>
      </c>
      <c r="E44" s="8" t="str">
        <f>IF($A44="","",SUMIFS('Raw Data'!$J:$J,'Raw Data'!$A:$A,$A44,'Raw Data'!$E:$E,D$3))</f>
        <v/>
      </c>
      <c r="F44" s="7" t="str">
        <f>IF($A44="","",SUMIFS('Raw Data'!$F:$F,'Raw Data'!$A:$A,$A44,'Raw Data'!$E:$E,F$3))</f>
        <v/>
      </c>
      <c r="G44" s="8" t="str">
        <f>IF($A44="","",SUMIFS('Raw Data'!$J:$J,'Raw Data'!$A:$A,$A44,'Raw Data'!$E:$E,F$3))</f>
        <v/>
      </c>
      <c r="H44" s="7" t="str">
        <f>IF($A44="","",SUMIFS('Raw Data'!$F:$F,'Raw Data'!$A:$A,$A44,'Raw Data'!$E:$E,H$3))</f>
        <v/>
      </c>
      <c r="I44" s="8" t="str">
        <f>IF($A44="","",SUMIFS('Raw Data'!$J:$J,'Raw Data'!$A:$A,$A44,'Raw Data'!$E:$E,H$3))</f>
        <v/>
      </c>
      <c r="J44" s="9" t="str">
        <f t="shared" si="3"/>
        <v/>
      </c>
      <c r="K44" s="10" t="str">
        <f t="shared" si="4"/>
        <v/>
      </c>
      <c r="L44" s="5" t="str">
        <f t="shared" si="5"/>
        <v/>
      </c>
    </row>
    <row r="45" spans="1:12" ht="15.75" customHeight="1" x14ac:dyDescent="0.3">
      <c r="A45" s="6" t="str">
        <f>IFERROR(INDEX('Raw Data'!$A$2:$A$200,_xlfn.AGGREGATE(15,6,(ROW('Raw Data'!$A$2:$A$200)-ROW('Raw Data'!$A$2)+1)/((COUNTIF($A$4:A44,'Raw Data'!$A$2:$A$200)=0)*('Raw Data'!$A$2:$A$200&lt;&gt;"")),1)),"")</f>
        <v/>
      </c>
      <c r="B45" s="7" t="str">
        <f>IF($A45="","",SUMIFS('Raw Data'!$F:$F,'Raw Data'!$A:$A,$A45,'Raw Data'!$E:$E,B$3))</f>
        <v/>
      </c>
      <c r="C45" s="8" t="str">
        <f>IF($A45="","",SUMIFS('Raw Data'!$J:$J,'Raw Data'!$A:$A,$A45,'Raw Data'!$E:$E,B$3))</f>
        <v/>
      </c>
      <c r="D45" s="7" t="str">
        <f>IF($A45="","",SUMIFS('Raw Data'!$F:$F,'Raw Data'!$A:$A,$A45,'Raw Data'!$E:$E,D$3))</f>
        <v/>
      </c>
      <c r="E45" s="8" t="str">
        <f>IF($A45="","",SUMIFS('Raw Data'!$J:$J,'Raw Data'!$A:$A,$A45,'Raw Data'!$E:$E,D$3))</f>
        <v/>
      </c>
      <c r="F45" s="7" t="str">
        <f>IF($A45="","",SUMIFS('Raw Data'!$F:$F,'Raw Data'!$A:$A,$A45,'Raw Data'!$E:$E,F$3))</f>
        <v/>
      </c>
      <c r="G45" s="8" t="str">
        <f>IF($A45="","",SUMIFS('Raw Data'!$J:$J,'Raw Data'!$A:$A,$A45,'Raw Data'!$E:$E,F$3))</f>
        <v/>
      </c>
      <c r="H45" s="7" t="str">
        <f>IF($A45="","",SUMIFS('Raw Data'!$F:$F,'Raw Data'!$A:$A,$A45,'Raw Data'!$E:$E,H$3))</f>
        <v/>
      </c>
      <c r="I45" s="8" t="str">
        <f>IF($A45="","",SUMIFS('Raw Data'!$J:$J,'Raw Data'!$A:$A,$A45,'Raw Data'!$E:$E,H$3))</f>
        <v/>
      </c>
      <c r="J45" s="9" t="str">
        <f t="shared" si="3"/>
        <v/>
      </c>
      <c r="K45" s="10" t="str">
        <f t="shared" si="4"/>
        <v/>
      </c>
      <c r="L45" s="5" t="str">
        <f t="shared" si="5"/>
        <v/>
      </c>
    </row>
    <row r="46" spans="1:12" ht="15.75" customHeight="1" x14ac:dyDescent="0.3">
      <c r="A46" s="6" t="str">
        <f>IFERROR(INDEX('Raw Data'!$A$2:$A$200,_xlfn.AGGREGATE(15,6,(ROW('Raw Data'!$A$2:$A$200)-ROW('Raw Data'!$A$2)+1)/((COUNTIF($A$4:A45,'Raw Data'!$A$2:$A$200)=0)*('Raw Data'!$A$2:$A$200&lt;&gt;"")),1)),"")</f>
        <v/>
      </c>
      <c r="B46" s="7" t="str">
        <f>IF($A46="","",SUMIFS('Raw Data'!$F:$F,'Raw Data'!$A:$A,$A46,'Raw Data'!$E:$E,B$3))</f>
        <v/>
      </c>
      <c r="C46" s="8" t="str">
        <f>IF($A46="","",SUMIFS('Raw Data'!$J:$J,'Raw Data'!$A:$A,$A46,'Raw Data'!$E:$E,B$3))</f>
        <v/>
      </c>
      <c r="D46" s="7" t="str">
        <f>IF($A46="","",SUMIFS('Raw Data'!$F:$F,'Raw Data'!$A:$A,$A46,'Raw Data'!$E:$E,D$3))</f>
        <v/>
      </c>
      <c r="E46" s="8" t="str">
        <f>IF($A46="","",SUMIFS('Raw Data'!$J:$J,'Raw Data'!$A:$A,$A46,'Raw Data'!$E:$E,D$3))</f>
        <v/>
      </c>
      <c r="F46" s="7" t="str">
        <f>IF($A46="","",SUMIFS('Raw Data'!$F:$F,'Raw Data'!$A:$A,$A46,'Raw Data'!$E:$E,F$3))</f>
        <v/>
      </c>
      <c r="G46" s="8" t="str">
        <f>IF($A46="","",SUMIFS('Raw Data'!$J:$J,'Raw Data'!$A:$A,$A46,'Raw Data'!$E:$E,F$3))</f>
        <v/>
      </c>
      <c r="H46" s="7" t="str">
        <f>IF($A46="","",SUMIFS('Raw Data'!$F:$F,'Raw Data'!$A:$A,$A46,'Raw Data'!$E:$E,H$3))</f>
        <v/>
      </c>
      <c r="I46" s="8" t="str">
        <f>IF($A46="","",SUMIFS('Raw Data'!$J:$J,'Raw Data'!$A:$A,$A46,'Raw Data'!$E:$E,H$3))</f>
        <v/>
      </c>
      <c r="J46" s="9" t="str">
        <f t="shared" si="3"/>
        <v/>
      </c>
      <c r="K46" s="10" t="str">
        <f t="shared" si="4"/>
        <v/>
      </c>
      <c r="L46" s="5" t="str">
        <f t="shared" si="5"/>
        <v/>
      </c>
    </row>
    <row r="47" spans="1:12" ht="15.75" customHeight="1" x14ac:dyDescent="0.3">
      <c r="A47" s="6" t="str">
        <f>IFERROR(INDEX('Raw Data'!$A$2:$A$200,_xlfn.AGGREGATE(15,6,(ROW('Raw Data'!$A$2:$A$200)-ROW('Raw Data'!$A$2)+1)/((COUNTIF($A$4:A46,'Raw Data'!$A$2:$A$200)=0)*('Raw Data'!$A$2:$A$200&lt;&gt;"")),1)),"")</f>
        <v/>
      </c>
      <c r="B47" s="7" t="str">
        <f>IF($A47="","",SUMIFS('Raw Data'!$F:$F,'Raw Data'!$A:$A,$A47,'Raw Data'!$E:$E,B$3))</f>
        <v/>
      </c>
      <c r="C47" s="8" t="str">
        <f>IF($A47="","",SUMIFS('Raw Data'!$J:$J,'Raw Data'!$A:$A,$A47,'Raw Data'!$E:$E,B$3))</f>
        <v/>
      </c>
      <c r="D47" s="7" t="str">
        <f>IF($A47="","",SUMIFS('Raw Data'!$F:$F,'Raw Data'!$A:$A,$A47,'Raw Data'!$E:$E,D$3))</f>
        <v/>
      </c>
      <c r="E47" s="8" t="str">
        <f>IF($A47="","",SUMIFS('Raw Data'!$J:$J,'Raw Data'!$A:$A,$A47,'Raw Data'!$E:$E,D$3))</f>
        <v/>
      </c>
      <c r="F47" s="7" t="str">
        <f>IF($A47="","",SUMIFS('Raw Data'!$F:$F,'Raw Data'!$A:$A,$A47,'Raw Data'!$E:$E,F$3))</f>
        <v/>
      </c>
      <c r="G47" s="8" t="str">
        <f>IF($A47="","",SUMIFS('Raw Data'!$J:$J,'Raw Data'!$A:$A,$A47,'Raw Data'!$E:$E,F$3))</f>
        <v/>
      </c>
      <c r="H47" s="7" t="str">
        <f>IF($A47="","",SUMIFS('Raw Data'!$F:$F,'Raw Data'!$A:$A,$A47,'Raw Data'!$E:$E,H$3))</f>
        <v/>
      </c>
      <c r="I47" s="8" t="str">
        <f>IF($A47="","",SUMIFS('Raw Data'!$J:$J,'Raw Data'!$A:$A,$A47,'Raw Data'!$E:$E,H$3))</f>
        <v/>
      </c>
      <c r="J47" s="9" t="str">
        <f t="shared" si="3"/>
        <v/>
      </c>
      <c r="K47" s="10" t="str">
        <f t="shared" si="4"/>
        <v/>
      </c>
      <c r="L47" s="5" t="str">
        <f t="shared" si="5"/>
        <v/>
      </c>
    </row>
    <row r="48" spans="1:12" ht="15.75" customHeight="1" x14ac:dyDescent="0.3">
      <c r="A48" s="6" t="str">
        <f>IFERROR(INDEX('Raw Data'!$A$2:$A$200,_xlfn.AGGREGATE(15,6,(ROW('Raw Data'!$A$2:$A$200)-ROW('Raw Data'!$A$2)+1)/((COUNTIF($A$4:A47,'Raw Data'!$A$2:$A$200)=0)*('Raw Data'!$A$2:$A$200&lt;&gt;"")),1)),"")</f>
        <v/>
      </c>
      <c r="B48" s="7" t="str">
        <f>IF($A48="","",SUMIFS('Raw Data'!$F:$F,'Raw Data'!$A:$A,$A48,'Raw Data'!$E:$E,B$3))</f>
        <v/>
      </c>
      <c r="C48" s="8" t="str">
        <f>IF($A48="","",SUMIFS('Raw Data'!$J:$J,'Raw Data'!$A:$A,$A48,'Raw Data'!$E:$E,B$3))</f>
        <v/>
      </c>
      <c r="D48" s="7" t="str">
        <f>IF($A48="","",SUMIFS('Raw Data'!$F:$F,'Raw Data'!$A:$A,$A48,'Raw Data'!$E:$E,D$3))</f>
        <v/>
      </c>
      <c r="E48" s="8" t="str">
        <f>IF($A48="","",SUMIFS('Raw Data'!$J:$J,'Raw Data'!$A:$A,$A48,'Raw Data'!$E:$E,D$3))</f>
        <v/>
      </c>
      <c r="F48" s="7" t="str">
        <f>IF($A48="","",SUMIFS('Raw Data'!$F:$F,'Raw Data'!$A:$A,$A48,'Raw Data'!$E:$E,F$3))</f>
        <v/>
      </c>
      <c r="G48" s="8" t="str">
        <f>IF($A48="","",SUMIFS('Raw Data'!$J:$J,'Raw Data'!$A:$A,$A48,'Raw Data'!$E:$E,F$3))</f>
        <v/>
      </c>
      <c r="H48" s="7" t="str">
        <f>IF($A48="","",SUMIFS('Raw Data'!$F:$F,'Raw Data'!$A:$A,$A48,'Raw Data'!$E:$E,H$3))</f>
        <v/>
      </c>
      <c r="I48" s="8" t="str">
        <f>IF($A48="","",SUMIFS('Raw Data'!$J:$J,'Raw Data'!$A:$A,$A48,'Raw Data'!$E:$E,H$3))</f>
        <v/>
      </c>
      <c r="J48" s="9" t="str">
        <f t="shared" si="3"/>
        <v/>
      </c>
      <c r="K48" s="10" t="str">
        <f t="shared" si="4"/>
        <v/>
      </c>
      <c r="L48" s="5" t="str">
        <f t="shared" si="5"/>
        <v/>
      </c>
    </row>
    <row r="49" spans="1:12" ht="15.75" customHeight="1" x14ac:dyDescent="0.3">
      <c r="A49" s="6" t="str">
        <f>IFERROR(INDEX('Raw Data'!$A$2:$A$200,_xlfn.AGGREGATE(15,6,(ROW('Raw Data'!$A$2:$A$200)-ROW('Raw Data'!$A$2)+1)/((COUNTIF($A$4:A48,'Raw Data'!$A$2:$A$200)=0)*('Raw Data'!$A$2:$A$200&lt;&gt;"")),1)),"")</f>
        <v/>
      </c>
      <c r="B49" s="7" t="str">
        <f>IF($A49="","",SUMIFS('Raw Data'!$F:$F,'Raw Data'!$A:$A,$A49,'Raw Data'!$E:$E,B$3))</f>
        <v/>
      </c>
      <c r="C49" s="8" t="str">
        <f>IF($A49="","",SUMIFS('Raw Data'!$J:$J,'Raw Data'!$A:$A,$A49,'Raw Data'!$E:$E,B$3))</f>
        <v/>
      </c>
      <c r="D49" s="7" t="str">
        <f>IF($A49="","",SUMIFS('Raw Data'!$F:$F,'Raw Data'!$A:$A,$A49,'Raw Data'!$E:$E,D$3))</f>
        <v/>
      </c>
      <c r="E49" s="8" t="str">
        <f>IF($A49="","",SUMIFS('Raw Data'!$J:$J,'Raw Data'!$A:$A,$A49,'Raw Data'!$E:$E,D$3))</f>
        <v/>
      </c>
      <c r="F49" s="7" t="str">
        <f>IF($A49="","",SUMIFS('Raw Data'!$F:$F,'Raw Data'!$A:$A,$A49,'Raw Data'!$E:$E,F$3))</f>
        <v/>
      </c>
      <c r="G49" s="8" t="str">
        <f>IF($A49="","",SUMIFS('Raw Data'!$J:$J,'Raw Data'!$A:$A,$A49,'Raw Data'!$E:$E,F$3))</f>
        <v/>
      </c>
      <c r="H49" s="7" t="str">
        <f>IF($A49="","",SUMIFS('Raw Data'!$F:$F,'Raw Data'!$A:$A,$A49,'Raw Data'!$E:$E,H$3))</f>
        <v/>
      </c>
      <c r="I49" s="8" t="str">
        <f>IF($A49="","",SUMIFS('Raw Data'!$J:$J,'Raw Data'!$A:$A,$A49,'Raw Data'!$E:$E,H$3))</f>
        <v/>
      </c>
      <c r="J49" s="9" t="str">
        <f t="shared" si="3"/>
        <v/>
      </c>
      <c r="K49" s="10" t="str">
        <f t="shared" si="4"/>
        <v/>
      </c>
      <c r="L49" s="5" t="str">
        <f t="shared" si="5"/>
        <v/>
      </c>
    </row>
    <row r="50" spans="1:12" ht="15.75" customHeight="1" x14ac:dyDescent="0.3">
      <c r="A50" s="6" t="str">
        <f>IFERROR(INDEX('Raw Data'!$A$2:$A$200,_xlfn.AGGREGATE(15,6,(ROW('Raw Data'!$A$2:$A$200)-ROW('Raw Data'!$A$2)+1)/((COUNTIF($A$4:A49,'Raw Data'!$A$2:$A$200)=0)*('Raw Data'!$A$2:$A$200&lt;&gt;"")),1)),"")</f>
        <v/>
      </c>
      <c r="B50" s="7" t="str">
        <f>IF($A50="","",SUMIFS('Raw Data'!$F:$F,'Raw Data'!$A:$A,$A50,'Raw Data'!$E:$E,B$3))</f>
        <v/>
      </c>
      <c r="C50" s="8" t="str">
        <f>IF($A50="","",SUMIFS('Raw Data'!$J:$J,'Raw Data'!$A:$A,$A50,'Raw Data'!$E:$E,B$3))</f>
        <v/>
      </c>
      <c r="D50" s="7" t="str">
        <f>IF($A50="","",SUMIFS('Raw Data'!$F:$F,'Raw Data'!$A:$A,$A50,'Raw Data'!$E:$E,D$3))</f>
        <v/>
      </c>
      <c r="E50" s="8" t="str">
        <f>IF($A50="","",SUMIFS('Raw Data'!$J:$J,'Raw Data'!$A:$A,$A50,'Raw Data'!$E:$E,D$3))</f>
        <v/>
      </c>
      <c r="F50" s="7" t="str">
        <f>IF($A50="","",SUMIFS('Raw Data'!$F:$F,'Raw Data'!$A:$A,$A50,'Raw Data'!$E:$E,F$3))</f>
        <v/>
      </c>
      <c r="G50" s="8" t="str">
        <f>IF($A50="","",SUMIFS('Raw Data'!$J:$J,'Raw Data'!$A:$A,$A50,'Raw Data'!$E:$E,F$3))</f>
        <v/>
      </c>
      <c r="H50" s="7" t="str">
        <f>IF($A50="","",SUMIFS('Raw Data'!$F:$F,'Raw Data'!$A:$A,$A50,'Raw Data'!$E:$E,H$3))</f>
        <v/>
      </c>
      <c r="I50" s="8" t="str">
        <f>IF($A50="","",SUMIFS('Raw Data'!$J:$J,'Raw Data'!$A:$A,$A50,'Raw Data'!$E:$E,H$3))</f>
        <v/>
      </c>
      <c r="J50" s="9" t="str">
        <f t="shared" si="3"/>
        <v/>
      </c>
      <c r="K50" s="10" t="str">
        <f t="shared" si="4"/>
        <v/>
      </c>
      <c r="L50" s="5" t="str">
        <f t="shared" si="5"/>
        <v/>
      </c>
    </row>
    <row r="51" spans="1:12" ht="15.75" customHeight="1" x14ac:dyDescent="0.3">
      <c r="A51" s="6" t="str">
        <f>IFERROR(INDEX('Raw Data'!$A$2:$A$200,_xlfn.AGGREGATE(15,6,(ROW('Raw Data'!$A$2:$A$200)-ROW('Raw Data'!$A$2)+1)/((COUNTIF($A$4:A50,'Raw Data'!$A$2:$A$200)=0)*('Raw Data'!$A$2:$A$200&lt;&gt;"")),1)),"")</f>
        <v/>
      </c>
      <c r="B51" s="7" t="str">
        <f>IF($A51="","",SUMIFS('Raw Data'!$F:$F,'Raw Data'!$A:$A,$A51,'Raw Data'!$E:$E,B$3))</f>
        <v/>
      </c>
      <c r="C51" s="8" t="str">
        <f>IF($A51="","",SUMIFS('Raw Data'!$J:$J,'Raw Data'!$A:$A,$A51,'Raw Data'!$E:$E,B$3))</f>
        <v/>
      </c>
      <c r="D51" s="7" t="str">
        <f>IF($A51="","",SUMIFS('Raw Data'!$F:$F,'Raw Data'!$A:$A,$A51,'Raw Data'!$E:$E,D$3))</f>
        <v/>
      </c>
      <c r="E51" s="8" t="str">
        <f>IF($A51="","",SUMIFS('Raw Data'!$J:$J,'Raw Data'!$A:$A,$A51,'Raw Data'!$E:$E,D$3))</f>
        <v/>
      </c>
      <c r="F51" s="7" t="str">
        <f>IF($A51="","",SUMIFS('Raw Data'!$F:$F,'Raw Data'!$A:$A,$A51,'Raw Data'!$E:$E,F$3))</f>
        <v/>
      </c>
      <c r="G51" s="8" t="str">
        <f>IF($A51="","",SUMIFS('Raw Data'!$J:$J,'Raw Data'!$A:$A,$A51,'Raw Data'!$E:$E,F$3))</f>
        <v/>
      </c>
      <c r="H51" s="7" t="str">
        <f>IF($A51="","",SUMIFS('Raw Data'!$F:$F,'Raw Data'!$A:$A,$A51,'Raw Data'!$E:$E,H$3))</f>
        <v/>
      </c>
      <c r="I51" s="8" t="str">
        <f>IF($A51="","",SUMIFS('Raw Data'!$J:$J,'Raw Data'!$A:$A,$A51,'Raw Data'!$E:$E,H$3))</f>
        <v/>
      </c>
      <c r="J51" s="9" t="str">
        <f t="shared" si="3"/>
        <v/>
      </c>
      <c r="K51" s="10" t="str">
        <f t="shared" si="4"/>
        <v/>
      </c>
      <c r="L51" s="5" t="str">
        <f t="shared" si="5"/>
        <v/>
      </c>
    </row>
    <row r="52" spans="1:12" ht="15.75" customHeight="1" x14ac:dyDescent="0.3">
      <c r="A52" s="6" t="str">
        <f>IFERROR(INDEX('Raw Data'!$A$2:$A$200,_xlfn.AGGREGATE(15,6,(ROW('Raw Data'!$A$2:$A$200)-ROW('Raw Data'!$A$2)+1)/((COUNTIF($A$4:A51,'Raw Data'!$A$2:$A$200)=0)*('Raw Data'!$A$2:$A$200&lt;&gt;"")),1)),"")</f>
        <v/>
      </c>
      <c r="B52" s="7" t="str">
        <f>IF($A52="","",SUMIFS('Raw Data'!$F:$F,'Raw Data'!$A:$A,$A52,'Raw Data'!$E:$E,B$3))</f>
        <v/>
      </c>
      <c r="C52" s="8" t="str">
        <f>IF($A52="","",SUMIFS('Raw Data'!$J:$J,'Raw Data'!$A:$A,$A52,'Raw Data'!$E:$E,B$3))</f>
        <v/>
      </c>
      <c r="D52" s="7" t="str">
        <f>IF($A52="","",SUMIFS('Raw Data'!$F:$F,'Raw Data'!$A:$A,$A52,'Raw Data'!$E:$E,D$3))</f>
        <v/>
      </c>
      <c r="E52" s="8" t="str">
        <f>IF($A52="","",SUMIFS('Raw Data'!$J:$J,'Raw Data'!$A:$A,$A52,'Raw Data'!$E:$E,D$3))</f>
        <v/>
      </c>
      <c r="F52" s="7" t="str">
        <f>IF($A52="","",SUMIFS('Raw Data'!$F:$F,'Raw Data'!$A:$A,$A52,'Raw Data'!$E:$E,F$3))</f>
        <v/>
      </c>
      <c r="G52" s="8" t="str">
        <f>IF($A52="","",SUMIFS('Raw Data'!$J:$J,'Raw Data'!$A:$A,$A52,'Raw Data'!$E:$E,F$3))</f>
        <v/>
      </c>
      <c r="H52" s="7" t="str">
        <f>IF($A52="","",SUMIFS('Raw Data'!$F:$F,'Raw Data'!$A:$A,$A52,'Raw Data'!$E:$E,H$3))</f>
        <v/>
      </c>
      <c r="I52" s="8" t="str">
        <f>IF($A52="","",SUMIFS('Raw Data'!$J:$J,'Raw Data'!$A:$A,$A52,'Raw Data'!$E:$E,H$3))</f>
        <v/>
      </c>
      <c r="J52" s="9" t="str">
        <f t="shared" si="3"/>
        <v/>
      </c>
      <c r="K52" s="10" t="str">
        <f t="shared" si="4"/>
        <v/>
      </c>
      <c r="L52" s="5" t="str">
        <f t="shared" si="5"/>
        <v/>
      </c>
    </row>
    <row r="53" spans="1:12" ht="15.75" customHeight="1" x14ac:dyDescent="0.3">
      <c r="A53" s="6" t="str">
        <f>IFERROR(INDEX('Raw Data'!$A$2:$A$200,_xlfn.AGGREGATE(15,6,(ROW('Raw Data'!$A$2:$A$200)-ROW('Raw Data'!$A$2)+1)/((COUNTIF($A$4:A52,'Raw Data'!$A$2:$A$200)=0)*('Raw Data'!$A$2:$A$200&lt;&gt;"")),1)),"")</f>
        <v/>
      </c>
      <c r="B53" s="7" t="str">
        <f>IF($A53="","",SUMIFS('Raw Data'!$F:$F,'Raw Data'!$A:$A,$A53,'Raw Data'!$E:$E,B$3))</f>
        <v/>
      </c>
      <c r="C53" s="8" t="str">
        <f>IF($A53="","",SUMIFS('Raw Data'!$J:$J,'Raw Data'!$A:$A,$A53,'Raw Data'!$E:$E,B$3))</f>
        <v/>
      </c>
      <c r="D53" s="7" t="str">
        <f>IF($A53="","",SUMIFS('Raw Data'!$F:$F,'Raw Data'!$A:$A,$A53,'Raw Data'!$E:$E,D$3))</f>
        <v/>
      </c>
      <c r="E53" s="8" t="str">
        <f>IF($A53="","",SUMIFS('Raw Data'!$J:$J,'Raw Data'!$A:$A,$A53,'Raw Data'!$E:$E,D$3))</f>
        <v/>
      </c>
      <c r="F53" s="7" t="str">
        <f>IF($A53="","",SUMIFS('Raw Data'!$F:$F,'Raw Data'!$A:$A,$A53,'Raw Data'!$E:$E,F$3))</f>
        <v/>
      </c>
      <c r="G53" s="8" t="str">
        <f>IF($A53="","",SUMIFS('Raw Data'!$J:$J,'Raw Data'!$A:$A,$A53,'Raw Data'!$E:$E,F$3))</f>
        <v/>
      </c>
      <c r="H53" s="7" t="str">
        <f>IF($A53="","",SUMIFS('Raw Data'!$F:$F,'Raw Data'!$A:$A,$A53,'Raw Data'!$E:$E,H$3))</f>
        <v/>
      </c>
      <c r="I53" s="8" t="str">
        <f>IF($A53="","",SUMIFS('Raw Data'!$J:$J,'Raw Data'!$A:$A,$A53,'Raw Data'!$E:$E,H$3))</f>
        <v/>
      </c>
      <c r="J53" s="9" t="str">
        <f t="shared" si="3"/>
        <v/>
      </c>
      <c r="K53" s="10" t="str">
        <f t="shared" si="4"/>
        <v/>
      </c>
      <c r="L53" s="5" t="str">
        <f t="shared" si="5"/>
        <v/>
      </c>
    </row>
    <row r="54" spans="1:12" ht="15.75" customHeight="1" x14ac:dyDescent="0.3">
      <c r="A54" s="6" t="str">
        <f>IFERROR(INDEX('Raw Data'!$A$2:$A$200,_xlfn.AGGREGATE(15,6,(ROW('Raw Data'!$A$2:$A$200)-ROW('Raw Data'!$A$2)+1)/((COUNTIF($A$4:A53,'Raw Data'!$A$2:$A$200)=0)*('Raw Data'!$A$2:$A$200&lt;&gt;"")),1)),"")</f>
        <v/>
      </c>
      <c r="B54" s="7" t="str">
        <f>IF($A54="","",SUMIFS('Raw Data'!$F:$F,'Raw Data'!$A:$A,$A54,'Raw Data'!$E:$E,B$3))</f>
        <v/>
      </c>
      <c r="C54" s="8" t="str">
        <f>IF($A54="","",SUMIFS('Raw Data'!$J:$J,'Raw Data'!$A:$A,$A54,'Raw Data'!$E:$E,B$3))</f>
        <v/>
      </c>
      <c r="D54" s="7" t="str">
        <f>IF($A54="","",SUMIFS('Raw Data'!$F:$F,'Raw Data'!$A:$A,$A54,'Raw Data'!$E:$E,D$3))</f>
        <v/>
      </c>
      <c r="E54" s="8" t="str">
        <f>IF($A54="","",SUMIFS('Raw Data'!$J:$J,'Raw Data'!$A:$A,$A54,'Raw Data'!$E:$E,D$3))</f>
        <v/>
      </c>
      <c r="F54" s="7" t="str">
        <f>IF($A54="","",SUMIFS('Raw Data'!$F:$F,'Raw Data'!$A:$A,$A54,'Raw Data'!$E:$E,F$3))</f>
        <v/>
      </c>
      <c r="G54" s="8" t="str">
        <f>IF($A54="","",SUMIFS('Raw Data'!$J:$J,'Raw Data'!$A:$A,$A54,'Raw Data'!$E:$E,F$3))</f>
        <v/>
      </c>
      <c r="H54" s="7" t="str">
        <f>IF($A54="","",SUMIFS('Raw Data'!$F:$F,'Raw Data'!$A:$A,$A54,'Raw Data'!$E:$E,H$3))</f>
        <v/>
      </c>
      <c r="I54" s="8" t="str">
        <f>IF($A54="","",SUMIFS('Raw Data'!$J:$J,'Raw Data'!$A:$A,$A54,'Raw Data'!$E:$E,H$3))</f>
        <v/>
      </c>
      <c r="J54" s="9" t="str">
        <f t="shared" si="3"/>
        <v/>
      </c>
      <c r="K54" s="10" t="str">
        <f t="shared" si="4"/>
        <v/>
      </c>
      <c r="L54" s="5" t="str">
        <f t="shared" si="5"/>
        <v/>
      </c>
    </row>
    <row r="55" spans="1:12" ht="19.5" customHeight="1" x14ac:dyDescent="0.3">
      <c r="A55" s="6" t="str">
        <f>IFERROR(INDEX('Raw Data'!$A$2:$A$200,_xlfn.AGGREGATE(15,6,(ROW('Raw Data'!$A$2:$A$200)-ROW('Raw Data'!$A$2)+1)/((COUNTIF($A$4:A54,'Raw Data'!$A$2:$A$200)=0)*('Raw Data'!$A$2:$A$200&lt;&gt;"")),1)),"")</f>
        <v/>
      </c>
      <c r="B55" s="7" t="str">
        <f>IF($A55="","",SUMIFS('Raw Data'!$F:$F,'Raw Data'!$A:$A,$A55,'Raw Data'!$E:$E,B$3))</f>
        <v/>
      </c>
      <c r="C55" s="8" t="str">
        <f>IF($A55="","",SUMIFS('Raw Data'!$J:$J,'Raw Data'!$A:$A,$A55,'Raw Data'!$E:$E,B$3))</f>
        <v/>
      </c>
      <c r="D55" s="7" t="str">
        <f>IF($A55="","",SUMIFS('Raw Data'!$F:$F,'Raw Data'!$A:$A,$A55,'Raw Data'!$E:$E,D$3))</f>
        <v/>
      </c>
      <c r="E55" s="8" t="str">
        <f>IF($A55="","",SUMIFS('Raw Data'!$J:$J,'Raw Data'!$A:$A,$A55,'Raw Data'!$E:$E,D$3))</f>
        <v/>
      </c>
      <c r="F55" s="7" t="str">
        <f>IF($A55="","",SUMIFS('Raw Data'!$F:$F,'Raw Data'!$A:$A,$A55,'Raw Data'!$E:$E,F$3))</f>
        <v/>
      </c>
      <c r="G55" s="8" t="str">
        <f>IF($A55="","",SUMIFS('Raw Data'!$J:$J,'Raw Data'!$A:$A,$A55,'Raw Data'!$E:$E,F$3))</f>
        <v/>
      </c>
      <c r="H55" s="7" t="str">
        <f>IF($A55="","",SUMIFS('Raw Data'!$F:$F,'Raw Data'!$A:$A,$A55,'Raw Data'!$E:$E,H$3))</f>
        <v/>
      </c>
      <c r="I55" s="8" t="str">
        <f>IF($A55="","",SUMIFS('Raw Data'!$J:$J,'Raw Data'!$A:$A,$A55,'Raw Data'!$E:$E,H$3))</f>
        <v/>
      </c>
      <c r="J55" s="9" t="str">
        <f t="shared" si="3"/>
        <v/>
      </c>
      <c r="K55" s="10" t="str">
        <f t="shared" si="4"/>
        <v/>
      </c>
      <c r="L55" s="5" t="str">
        <f t="shared" si="5"/>
        <v/>
      </c>
    </row>
    <row r="56" spans="1:12" x14ac:dyDescent="0.3">
      <c r="A56" s="6" t="str">
        <f>IFERROR(INDEX('Raw Data'!$A$2:$A$200,_xlfn.AGGREGATE(15,6,(ROW('Raw Data'!$A$2:$A$200)-ROW('Raw Data'!$A$2)+1)/((COUNTIF($A$4:A55,'Raw Data'!$A$2:$A$200)=0)*('Raw Data'!$A$2:$A$200&lt;&gt;"")),1)),"")</f>
        <v/>
      </c>
      <c r="B56" s="7" t="str">
        <f>IF($A56="","",SUMIFS('Raw Data'!$F:$F,'Raw Data'!$A:$A,$A56,'Raw Data'!$E:$E,B$3))</f>
        <v/>
      </c>
      <c r="C56" s="8" t="str">
        <f>IF($A56="","",SUMIFS('Raw Data'!$J:$J,'Raw Data'!$A:$A,$A56,'Raw Data'!$E:$E,B$3))</f>
        <v/>
      </c>
      <c r="D56" s="7" t="str">
        <f>IF($A56="","",SUMIFS('Raw Data'!$F:$F,'Raw Data'!$A:$A,$A56,'Raw Data'!$E:$E,D$3))</f>
        <v/>
      </c>
      <c r="E56" s="8" t="str">
        <f>IF($A56="","",SUMIFS('Raw Data'!$J:$J,'Raw Data'!$A:$A,$A56,'Raw Data'!$E:$E,D$3))</f>
        <v/>
      </c>
      <c r="F56" s="7" t="str">
        <f>IF($A56="","",SUMIFS('Raw Data'!$F:$F,'Raw Data'!$A:$A,$A56,'Raw Data'!$E:$E,F$3))</f>
        <v/>
      </c>
      <c r="G56" s="8" t="str">
        <f>IF($A56="","",SUMIFS('Raw Data'!$J:$J,'Raw Data'!$A:$A,$A56,'Raw Data'!$E:$E,F$3))</f>
        <v/>
      </c>
      <c r="H56" s="7" t="str">
        <f>IF($A56="","",SUMIFS('Raw Data'!$F:$F,'Raw Data'!$A:$A,$A56,'Raw Data'!$E:$E,H$3))</f>
        <v/>
      </c>
      <c r="I56" s="8" t="str">
        <f>IF($A56="","",SUMIFS('Raw Data'!$J:$J,'Raw Data'!$A:$A,$A56,'Raw Data'!$E:$E,H$3))</f>
        <v/>
      </c>
      <c r="J56" s="9" t="str">
        <f t="shared" si="3"/>
        <v/>
      </c>
      <c r="K56" s="10" t="str">
        <f t="shared" si="4"/>
        <v/>
      </c>
      <c r="L56" s="5" t="str">
        <f t="shared" si="5"/>
        <v/>
      </c>
    </row>
    <row r="57" spans="1:12" x14ac:dyDescent="0.3">
      <c r="A57" s="6" t="str">
        <f>IFERROR(INDEX('Raw Data'!$A$2:$A$200,_xlfn.AGGREGATE(15,6,(ROW('Raw Data'!$A$2:$A$200)-ROW('Raw Data'!$A$2)+1)/((COUNTIF($A$4:A56,'Raw Data'!$A$2:$A$200)=0)*('Raw Data'!$A$2:$A$200&lt;&gt;"")),1)),"")</f>
        <v/>
      </c>
      <c r="B57" s="7" t="str">
        <f>IF($A57="","",SUMIFS('Raw Data'!$F:$F,'Raw Data'!$A:$A,$A57,'Raw Data'!$E:$E,B$3))</f>
        <v/>
      </c>
      <c r="C57" s="8" t="str">
        <f>IF($A57="","",SUMIFS('Raw Data'!$J:$J,'Raw Data'!$A:$A,$A57,'Raw Data'!$E:$E,B$3))</f>
        <v/>
      </c>
      <c r="D57" s="7" t="str">
        <f>IF($A57="","",SUMIFS('Raw Data'!$F:$F,'Raw Data'!$A:$A,$A57,'Raw Data'!$E:$E,D$3))</f>
        <v/>
      </c>
      <c r="E57" s="8" t="str">
        <f>IF($A57="","",SUMIFS('Raw Data'!$J:$J,'Raw Data'!$A:$A,$A57,'Raw Data'!$E:$E,D$3))</f>
        <v/>
      </c>
      <c r="F57" s="7" t="str">
        <f>IF($A57="","",SUMIFS('Raw Data'!$F:$F,'Raw Data'!$A:$A,$A57,'Raw Data'!$E:$E,F$3))</f>
        <v/>
      </c>
      <c r="G57" s="8" t="str">
        <f>IF($A57="","",SUMIFS('Raw Data'!$J:$J,'Raw Data'!$A:$A,$A57,'Raw Data'!$E:$E,F$3))</f>
        <v/>
      </c>
      <c r="H57" s="7" t="str">
        <f>IF($A57="","",SUMIFS('Raw Data'!$F:$F,'Raw Data'!$A:$A,$A57,'Raw Data'!$E:$E,H$3))</f>
        <v/>
      </c>
      <c r="I57" s="8" t="str">
        <f>IF($A57="","",SUMIFS('Raw Data'!$J:$J,'Raw Data'!$A:$A,$A57,'Raw Data'!$E:$E,H$3))</f>
        <v/>
      </c>
      <c r="J57" s="9" t="str">
        <f t="shared" si="3"/>
        <v/>
      </c>
      <c r="K57" s="10" t="str">
        <f t="shared" si="4"/>
        <v/>
      </c>
      <c r="L57" s="5" t="str">
        <f t="shared" si="5"/>
        <v/>
      </c>
    </row>
    <row r="58" spans="1:12" ht="15" customHeight="1" x14ac:dyDescent="0.3">
      <c r="A58" s="6" t="str">
        <f>IFERROR(INDEX('Raw Data'!$A$2:$A$200,_xlfn.AGGREGATE(15,6,(ROW('Raw Data'!$A$2:$A$200)-ROW('Raw Data'!$A$2)+1)/((COUNTIF($A$4:A57,'Raw Data'!$A$2:$A$200)=0)*('Raw Data'!$A$2:$A$200&lt;&gt;"")),1)),"")</f>
        <v/>
      </c>
      <c r="B58" s="7" t="str">
        <f>IF($A58="","",SUMIFS('Raw Data'!$F:$F,'Raw Data'!$A:$A,$A58,'Raw Data'!$E:$E,B$3))</f>
        <v/>
      </c>
      <c r="C58" s="8" t="str">
        <f>IF($A58="","",SUMIFS('Raw Data'!$J:$J,'Raw Data'!$A:$A,$A58,'Raw Data'!$E:$E,B$3))</f>
        <v/>
      </c>
      <c r="D58" s="7" t="str">
        <f>IF($A58="","",SUMIFS('Raw Data'!$F:$F,'Raw Data'!$A:$A,$A58,'Raw Data'!$E:$E,D$3))</f>
        <v/>
      </c>
      <c r="E58" s="8" t="str">
        <f>IF($A58="","",SUMIFS('Raw Data'!$J:$J,'Raw Data'!$A:$A,$A58,'Raw Data'!$E:$E,D$3))</f>
        <v/>
      </c>
      <c r="F58" s="7" t="str">
        <f>IF($A58="","",SUMIFS('Raw Data'!$F:$F,'Raw Data'!$A:$A,$A58,'Raw Data'!$E:$E,F$3))</f>
        <v/>
      </c>
      <c r="G58" s="8" t="str">
        <f>IF($A58="","",SUMIFS('Raw Data'!$J:$J,'Raw Data'!$A:$A,$A58,'Raw Data'!$E:$E,F$3))</f>
        <v/>
      </c>
      <c r="H58" s="7" t="str">
        <f>IF($A58="","",SUMIFS('Raw Data'!$F:$F,'Raw Data'!$A:$A,$A58,'Raw Data'!$E:$E,H$3))</f>
        <v/>
      </c>
      <c r="I58" s="8" t="str">
        <f>IF($A58="","",SUMIFS('Raw Data'!$J:$J,'Raw Data'!$A:$A,$A58,'Raw Data'!$E:$E,H$3))</f>
        <v/>
      </c>
      <c r="J58" s="9" t="str">
        <f t="shared" si="3"/>
        <v/>
      </c>
      <c r="K58" s="10" t="str">
        <f t="shared" si="4"/>
        <v/>
      </c>
      <c r="L58" s="5" t="str">
        <f t="shared" si="5"/>
        <v/>
      </c>
    </row>
    <row r="59" spans="1:12" ht="15" customHeight="1" x14ac:dyDescent="0.3">
      <c r="A59" s="6" t="str">
        <f>IFERROR(INDEX('Raw Data'!$A$2:$A$200,_xlfn.AGGREGATE(15,6,(ROW('Raw Data'!$A$2:$A$200)-ROW('Raw Data'!$A$2)+1)/((COUNTIF($A$4:A58,'Raw Data'!$A$2:$A$200)=0)*('Raw Data'!$A$2:$A$200&lt;&gt;"")),1)),"")</f>
        <v/>
      </c>
      <c r="B59" s="7" t="str">
        <f>IF($A59="","",SUMIFS('Raw Data'!$F:$F,'Raw Data'!$A:$A,$A59,'Raw Data'!$E:$E,B$3))</f>
        <v/>
      </c>
      <c r="C59" s="8" t="str">
        <f>IF($A59="","",SUMIFS('Raw Data'!$J:$J,'Raw Data'!$A:$A,$A59,'Raw Data'!$E:$E,B$3))</f>
        <v/>
      </c>
      <c r="D59" s="7" t="str">
        <f>IF($A59="","",SUMIFS('Raw Data'!$F:$F,'Raw Data'!$A:$A,$A59,'Raw Data'!$E:$E,D$3))</f>
        <v/>
      </c>
      <c r="E59" s="8" t="str">
        <f>IF($A59="","",SUMIFS('Raw Data'!$J:$J,'Raw Data'!$A:$A,$A59,'Raw Data'!$E:$E,D$3))</f>
        <v/>
      </c>
      <c r="F59" s="7" t="str">
        <f>IF($A59="","",SUMIFS('Raw Data'!$F:$F,'Raw Data'!$A:$A,$A59,'Raw Data'!$E:$E,F$3))</f>
        <v/>
      </c>
      <c r="G59" s="8" t="str">
        <f>IF($A59="","",SUMIFS('Raw Data'!$J:$J,'Raw Data'!$A:$A,$A59,'Raw Data'!$E:$E,F$3))</f>
        <v/>
      </c>
      <c r="H59" s="7" t="str">
        <f>IF($A59="","",SUMIFS('Raw Data'!$F:$F,'Raw Data'!$A:$A,$A59,'Raw Data'!$E:$E,H$3))</f>
        <v/>
      </c>
      <c r="I59" s="8" t="str">
        <f>IF($A59="","",SUMIFS('Raw Data'!$J:$J,'Raw Data'!$A:$A,$A59,'Raw Data'!$E:$E,H$3))</f>
        <v/>
      </c>
      <c r="J59" s="9" t="str">
        <f t="shared" si="3"/>
        <v/>
      </c>
      <c r="K59" s="10" t="str">
        <f t="shared" si="4"/>
        <v/>
      </c>
      <c r="L59" s="5" t="str">
        <f t="shared" si="5"/>
        <v/>
      </c>
    </row>
    <row r="60" spans="1:12" ht="15" customHeight="1" x14ac:dyDescent="0.3">
      <c r="A60" s="6" t="str">
        <f>IFERROR(INDEX('Raw Data'!$A$2:$A$200,_xlfn.AGGREGATE(15,6,(ROW('Raw Data'!$A$2:$A$200)-ROW('Raw Data'!$A$2)+1)/((COUNTIF($A$4:A59,'Raw Data'!$A$2:$A$200)=0)*('Raw Data'!$A$2:$A$200&lt;&gt;"")),1)),"")</f>
        <v/>
      </c>
      <c r="B60" s="7" t="str">
        <f>IF($A60="","",SUMIFS('Raw Data'!$F:$F,'Raw Data'!$A:$A,$A60,'Raw Data'!$E:$E,B$3))</f>
        <v/>
      </c>
      <c r="C60" s="8" t="str">
        <f>IF($A60="","",SUMIFS('Raw Data'!$J:$J,'Raw Data'!$A:$A,$A60,'Raw Data'!$E:$E,B$3))</f>
        <v/>
      </c>
      <c r="D60" s="7" t="str">
        <f>IF($A60="","",SUMIFS('Raw Data'!$F:$F,'Raw Data'!$A:$A,$A60,'Raw Data'!$E:$E,D$3))</f>
        <v/>
      </c>
      <c r="E60" s="8" t="str">
        <f>IF($A60="","",SUMIFS('Raw Data'!$J:$J,'Raw Data'!$A:$A,$A60,'Raw Data'!$E:$E,D$3))</f>
        <v/>
      </c>
      <c r="F60" s="7" t="str">
        <f>IF($A60="","",SUMIFS('Raw Data'!$F:$F,'Raw Data'!$A:$A,$A60,'Raw Data'!$E:$E,F$3))</f>
        <v/>
      </c>
      <c r="G60" s="8" t="str">
        <f>IF($A60="","",SUMIFS('Raw Data'!$J:$J,'Raw Data'!$A:$A,$A60,'Raw Data'!$E:$E,F$3))</f>
        <v/>
      </c>
      <c r="H60" s="7" t="str">
        <f>IF($A60="","",SUMIFS('Raw Data'!$F:$F,'Raw Data'!$A:$A,$A60,'Raw Data'!$E:$E,H$3))</f>
        <v/>
      </c>
      <c r="I60" s="8" t="str">
        <f>IF($A60="","",SUMIFS('Raw Data'!$J:$J,'Raw Data'!$A:$A,$A60,'Raw Data'!$E:$E,H$3))</f>
        <v/>
      </c>
      <c r="J60" s="9" t="str">
        <f t="shared" si="3"/>
        <v/>
      </c>
      <c r="K60" s="10" t="str">
        <f t="shared" si="4"/>
        <v/>
      </c>
      <c r="L60" s="5" t="str">
        <f t="shared" si="5"/>
        <v/>
      </c>
    </row>
    <row r="61" spans="1:12" x14ac:dyDescent="0.3">
      <c r="A61" s="6" t="str">
        <f>IFERROR(INDEX('Raw Data'!$A$2:$A$200,_xlfn.AGGREGATE(15,6,(ROW('Raw Data'!$A$2:$A$200)-ROW('Raw Data'!$A$2)+1)/((COUNTIF($A$4:A60,'Raw Data'!$A$2:$A$200)=0)*('Raw Data'!$A$2:$A$200&lt;&gt;"")),1)),"")</f>
        <v/>
      </c>
      <c r="B61" s="7" t="str">
        <f>IF($A61="","",SUMIFS('Raw Data'!$F:$F,'Raw Data'!$A:$A,$A61,'Raw Data'!$E:$E,B$3))</f>
        <v/>
      </c>
      <c r="C61" s="8" t="str">
        <f>IF($A61="","",SUMIFS('Raw Data'!$J:$J,'Raw Data'!$A:$A,$A61,'Raw Data'!$E:$E,B$3))</f>
        <v/>
      </c>
      <c r="D61" s="7" t="str">
        <f>IF($A61="","",SUMIFS('Raw Data'!$F:$F,'Raw Data'!$A:$A,$A61,'Raw Data'!$E:$E,D$3))</f>
        <v/>
      </c>
      <c r="E61" s="8" t="str">
        <f>IF($A61="","",SUMIFS('Raw Data'!$J:$J,'Raw Data'!$A:$A,$A61,'Raw Data'!$E:$E,D$3))</f>
        <v/>
      </c>
      <c r="F61" s="7" t="str">
        <f>IF($A61="","",SUMIFS('Raw Data'!$F:$F,'Raw Data'!$A:$A,$A61,'Raw Data'!$E:$E,F$3))</f>
        <v/>
      </c>
      <c r="G61" s="8" t="str">
        <f>IF($A61="","",SUMIFS('Raw Data'!$J:$J,'Raw Data'!$A:$A,$A61,'Raw Data'!$E:$E,F$3))</f>
        <v/>
      </c>
      <c r="H61" s="7" t="str">
        <f>IF($A61="","",SUMIFS('Raw Data'!$F:$F,'Raw Data'!$A:$A,$A61,'Raw Data'!$E:$E,H$3))</f>
        <v/>
      </c>
      <c r="I61" s="8" t="str">
        <f>IF($A61="","",SUMIFS('Raw Data'!$J:$J,'Raw Data'!$A:$A,$A61,'Raw Data'!$E:$E,H$3))</f>
        <v/>
      </c>
      <c r="J61" s="9" t="str">
        <f t="shared" si="3"/>
        <v/>
      </c>
      <c r="K61" s="10" t="str">
        <f t="shared" si="4"/>
        <v/>
      </c>
      <c r="L61" s="5" t="str">
        <f t="shared" si="5"/>
        <v/>
      </c>
    </row>
    <row r="62" spans="1:12" x14ac:dyDescent="0.3">
      <c r="A62" s="6" t="str">
        <f>IFERROR(INDEX('Raw Data'!$A$2:$A$200,_xlfn.AGGREGATE(15,6,(ROW('Raw Data'!$A$2:$A$200)-ROW('Raw Data'!$A$2)+1)/((COUNTIF($A$4:A61,'Raw Data'!$A$2:$A$200)=0)*('Raw Data'!$A$2:$A$200&lt;&gt;"")),1)),"")</f>
        <v/>
      </c>
      <c r="B62" s="7" t="str">
        <f>IF($A62="","",SUMIFS('Raw Data'!$F:$F,'Raw Data'!$A:$A,$A62,'Raw Data'!$E:$E,B$3))</f>
        <v/>
      </c>
      <c r="C62" s="8" t="str">
        <f>IF($A62="","",SUMIFS('Raw Data'!$J:$J,'Raw Data'!$A:$A,$A62,'Raw Data'!$E:$E,B$3))</f>
        <v/>
      </c>
      <c r="D62" s="7" t="str">
        <f>IF($A62="","",SUMIFS('Raw Data'!$F:$F,'Raw Data'!$A:$A,$A62,'Raw Data'!$E:$E,D$3))</f>
        <v/>
      </c>
      <c r="E62" s="8" t="str">
        <f>IF($A62="","",SUMIFS('Raw Data'!$J:$J,'Raw Data'!$A:$A,$A62,'Raw Data'!$E:$E,D$3))</f>
        <v/>
      </c>
      <c r="F62" s="7" t="str">
        <f>IF($A62="","",SUMIFS('Raw Data'!$F:$F,'Raw Data'!$A:$A,$A62,'Raw Data'!$E:$E,F$3))</f>
        <v/>
      </c>
      <c r="G62" s="8" t="str">
        <f>IF($A62="","",SUMIFS('Raw Data'!$J:$J,'Raw Data'!$A:$A,$A62,'Raw Data'!$E:$E,F$3))</f>
        <v/>
      </c>
      <c r="H62" s="7" t="str">
        <f>IF($A62="","",SUMIFS('Raw Data'!$F:$F,'Raw Data'!$A:$A,$A62,'Raw Data'!$E:$E,H$3))</f>
        <v/>
      </c>
      <c r="I62" s="8" t="str">
        <f>IF($A62="","",SUMIFS('Raw Data'!$J:$J,'Raw Data'!$A:$A,$A62,'Raw Data'!$E:$E,H$3))</f>
        <v/>
      </c>
      <c r="J62" s="9" t="str">
        <f t="shared" si="3"/>
        <v/>
      </c>
      <c r="K62" s="10" t="str">
        <f t="shared" si="4"/>
        <v/>
      </c>
      <c r="L62" s="5" t="str">
        <f t="shared" si="5"/>
        <v/>
      </c>
    </row>
    <row r="63" spans="1:12" x14ac:dyDescent="0.3">
      <c r="A63" s="6" t="str">
        <f>IFERROR(INDEX('Raw Data'!$A$2:$A$200,_xlfn.AGGREGATE(15,6,(ROW('Raw Data'!$A$2:$A$200)-ROW('Raw Data'!$A$2)+1)/((COUNTIF($A$4:A62,'Raw Data'!$A$2:$A$200)=0)*('Raw Data'!$A$2:$A$200&lt;&gt;"")),1)),"")</f>
        <v/>
      </c>
      <c r="B63" s="7" t="str">
        <f>IF($A63="","",SUMIFS('Raw Data'!$F:$F,'Raw Data'!$A:$A,$A63,'Raw Data'!$E:$E,B$3))</f>
        <v/>
      </c>
      <c r="C63" s="8" t="str">
        <f>IF($A63="","",SUMIFS('Raw Data'!$J:$J,'Raw Data'!$A:$A,$A63,'Raw Data'!$E:$E,B$3))</f>
        <v/>
      </c>
      <c r="D63" s="7" t="str">
        <f>IF($A63="","",SUMIFS('Raw Data'!$F:$F,'Raw Data'!$A:$A,$A63,'Raw Data'!$E:$E,D$3))</f>
        <v/>
      </c>
      <c r="E63" s="8" t="str">
        <f>IF($A63="","",SUMIFS('Raw Data'!$J:$J,'Raw Data'!$A:$A,$A63,'Raw Data'!$E:$E,D$3))</f>
        <v/>
      </c>
      <c r="F63" s="7" t="str">
        <f>IF($A63="","",SUMIFS('Raw Data'!$F:$F,'Raw Data'!$A:$A,$A63,'Raw Data'!$E:$E,F$3))</f>
        <v/>
      </c>
      <c r="G63" s="8" t="str">
        <f>IF($A63="","",SUMIFS('Raw Data'!$J:$J,'Raw Data'!$A:$A,$A63,'Raw Data'!$E:$E,F$3))</f>
        <v/>
      </c>
      <c r="H63" s="7" t="str">
        <f>IF($A63="","",SUMIFS('Raw Data'!$F:$F,'Raw Data'!$A:$A,$A63,'Raw Data'!$E:$E,H$3))</f>
        <v/>
      </c>
      <c r="I63" s="8" t="str">
        <f>IF($A63="","",SUMIFS('Raw Data'!$J:$J,'Raw Data'!$A:$A,$A63,'Raw Data'!$E:$E,H$3))</f>
        <v/>
      </c>
      <c r="J63" s="9" t="str">
        <f t="shared" si="3"/>
        <v/>
      </c>
      <c r="K63" s="10" t="str">
        <f t="shared" si="4"/>
        <v/>
      </c>
      <c r="L63" s="5" t="str">
        <f t="shared" si="5"/>
        <v/>
      </c>
    </row>
    <row r="64" spans="1:12" x14ac:dyDescent="0.3">
      <c r="A64" s="6" t="str">
        <f>IFERROR(INDEX('Raw Data'!$A$2:$A$200,_xlfn.AGGREGATE(15,6,(ROW('Raw Data'!$A$2:$A$200)-ROW('Raw Data'!$A$2)+1)/((COUNTIF($A$4:A63,'Raw Data'!$A$2:$A$200)=0)*('Raw Data'!$A$2:$A$200&lt;&gt;"")),1)),"")</f>
        <v/>
      </c>
      <c r="B64" s="7" t="str">
        <f>IF($A64="","",SUMIFS('Raw Data'!$F:$F,'Raw Data'!$A:$A,$A64,'Raw Data'!$E:$E,B$3))</f>
        <v/>
      </c>
      <c r="C64" s="8" t="str">
        <f>IF($A64="","",SUMIFS('Raw Data'!$J:$J,'Raw Data'!$A:$A,$A64,'Raw Data'!$E:$E,B$3))</f>
        <v/>
      </c>
      <c r="D64" s="7" t="str">
        <f>IF($A64="","",SUMIFS('Raw Data'!$F:$F,'Raw Data'!$A:$A,$A64,'Raw Data'!$E:$E,D$3))</f>
        <v/>
      </c>
      <c r="E64" s="8" t="str">
        <f>IF($A64="","",SUMIFS('Raw Data'!$J:$J,'Raw Data'!$A:$A,$A64,'Raw Data'!$E:$E,D$3))</f>
        <v/>
      </c>
      <c r="F64" s="7" t="str">
        <f>IF($A64="","",SUMIFS('Raw Data'!$F:$F,'Raw Data'!$A:$A,$A64,'Raw Data'!$E:$E,F$3))</f>
        <v/>
      </c>
      <c r="G64" s="8" t="str">
        <f>IF($A64="","",SUMIFS('Raw Data'!$J:$J,'Raw Data'!$A:$A,$A64,'Raw Data'!$E:$E,F$3))</f>
        <v/>
      </c>
      <c r="H64" s="7" t="str">
        <f>IF($A64="","",SUMIFS('Raw Data'!$F:$F,'Raw Data'!$A:$A,$A64,'Raw Data'!$E:$E,H$3))</f>
        <v/>
      </c>
      <c r="I64" s="8" t="str">
        <f>IF($A64="","",SUMIFS('Raw Data'!$J:$J,'Raw Data'!$A:$A,$A64,'Raw Data'!$E:$E,H$3))</f>
        <v/>
      </c>
      <c r="J64" s="9" t="str">
        <f t="shared" si="3"/>
        <v/>
      </c>
      <c r="K64" s="10" t="str">
        <f t="shared" si="4"/>
        <v/>
      </c>
      <c r="L64" s="5" t="str">
        <f t="shared" si="5"/>
        <v/>
      </c>
    </row>
    <row r="65" spans="1:12" x14ac:dyDescent="0.3">
      <c r="A65" s="6" t="str">
        <f>IFERROR(INDEX('Raw Data'!$A$2:$A$200,_xlfn.AGGREGATE(15,6,(ROW('Raw Data'!$A$2:$A$200)-ROW('Raw Data'!$A$2)+1)/((COUNTIF($A$4:A64,'Raw Data'!$A$2:$A$200)=0)*('Raw Data'!$A$2:$A$200&lt;&gt;"")),1)),"")</f>
        <v/>
      </c>
      <c r="B65" s="7" t="str">
        <f>IF($A65="","",SUMIFS('Raw Data'!$F:$F,'Raw Data'!$A:$A,$A65,'Raw Data'!$E:$E,B$3))</f>
        <v/>
      </c>
      <c r="C65" s="8" t="str">
        <f>IF($A65="","",SUMIFS('Raw Data'!$J:$J,'Raw Data'!$A:$A,$A65,'Raw Data'!$E:$E,B$3))</f>
        <v/>
      </c>
      <c r="D65" s="7" t="str">
        <f>IF($A65="","",SUMIFS('Raw Data'!$F:$F,'Raw Data'!$A:$A,$A65,'Raw Data'!$E:$E,D$3))</f>
        <v/>
      </c>
      <c r="E65" s="8" t="str">
        <f>IF($A65="","",SUMIFS('Raw Data'!$J:$J,'Raw Data'!$A:$A,$A65,'Raw Data'!$E:$E,D$3))</f>
        <v/>
      </c>
      <c r="F65" s="7" t="str">
        <f>IF($A65="","",SUMIFS('Raw Data'!$F:$F,'Raw Data'!$A:$A,$A65,'Raw Data'!$E:$E,F$3))</f>
        <v/>
      </c>
      <c r="G65" s="8" t="str">
        <f>IF($A65="","",SUMIFS('Raw Data'!$J:$J,'Raw Data'!$A:$A,$A65,'Raw Data'!$E:$E,F$3))</f>
        <v/>
      </c>
      <c r="H65" s="7" t="str">
        <f>IF($A65="","",SUMIFS('Raw Data'!$F:$F,'Raw Data'!$A:$A,$A65,'Raw Data'!$E:$E,H$3))</f>
        <v/>
      </c>
      <c r="I65" s="8" t="str">
        <f>IF($A65="","",SUMIFS('Raw Data'!$J:$J,'Raw Data'!$A:$A,$A65,'Raw Data'!$E:$E,H$3))</f>
        <v/>
      </c>
      <c r="J65" s="9" t="str">
        <f t="shared" si="3"/>
        <v/>
      </c>
      <c r="K65" s="10" t="str">
        <f t="shared" si="4"/>
        <v/>
      </c>
      <c r="L65" s="5" t="str">
        <f t="shared" si="5"/>
        <v/>
      </c>
    </row>
    <row r="66" spans="1:12" x14ac:dyDescent="0.3">
      <c r="A66" s="6" t="str">
        <f>IFERROR(INDEX('Raw Data'!$A$2:$A$200,_xlfn.AGGREGATE(15,6,(ROW('Raw Data'!$A$2:$A$200)-ROW('Raw Data'!$A$2)+1)/((COUNTIF($A$4:A65,'Raw Data'!$A$2:$A$200)=0)*('Raw Data'!$A$2:$A$200&lt;&gt;"")),1)),"")</f>
        <v/>
      </c>
      <c r="B66" s="7" t="str">
        <f>IF($A66="","",SUMIFS('Raw Data'!$F:$F,'Raw Data'!$A:$A,$A66,'Raw Data'!$E:$E,B$3))</f>
        <v/>
      </c>
      <c r="C66" s="8" t="str">
        <f>IF($A66="","",SUMIFS('Raw Data'!$J:$J,'Raw Data'!$A:$A,$A66,'Raw Data'!$E:$E,B$3))</f>
        <v/>
      </c>
      <c r="D66" s="7" t="str">
        <f>IF($A66="","",SUMIFS('Raw Data'!$F:$F,'Raw Data'!$A:$A,$A66,'Raw Data'!$E:$E,D$3))</f>
        <v/>
      </c>
      <c r="E66" s="8" t="str">
        <f>IF($A66="","",SUMIFS('Raw Data'!$J:$J,'Raw Data'!$A:$A,$A66,'Raw Data'!$E:$E,D$3))</f>
        <v/>
      </c>
      <c r="F66" s="7" t="str">
        <f>IF($A66="","",SUMIFS('Raw Data'!$F:$F,'Raw Data'!$A:$A,$A66,'Raw Data'!$E:$E,F$3))</f>
        <v/>
      </c>
      <c r="G66" s="8" t="str">
        <f>IF($A66="","",SUMIFS('Raw Data'!$J:$J,'Raw Data'!$A:$A,$A66,'Raw Data'!$E:$E,F$3))</f>
        <v/>
      </c>
      <c r="H66" s="7" t="str">
        <f>IF($A66="","",SUMIFS('Raw Data'!$F:$F,'Raw Data'!$A:$A,$A66,'Raw Data'!$E:$E,H$3))</f>
        <v/>
      </c>
      <c r="I66" s="8" t="str">
        <f>IF($A66="","",SUMIFS('Raw Data'!$J:$J,'Raw Data'!$A:$A,$A66,'Raw Data'!$E:$E,H$3))</f>
        <v/>
      </c>
      <c r="J66" s="9" t="str">
        <f t="shared" si="3"/>
        <v/>
      </c>
      <c r="K66" s="10" t="str">
        <f t="shared" si="4"/>
        <v/>
      </c>
      <c r="L66" s="5" t="str">
        <f t="shared" si="5"/>
        <v/>
      </c>
    </row>
    <row r="67" spans="1:12" x14ac:dyDescent="0.3">
      <c r="A67" s="6" t="str">
        <f>IFERROR(INDEX('Raw Data'!$A$2:$A$200,_xlfn.AGGREGATE(15,6,(ROW('Raw Data'!$A$2:$A$200)-ROW('Raw Data'!$A$2)+1)/((COUNTIF($A$4:A66,'Raw Data'!$A$2:$A$200)=0)*('Raw Data'!$A$2:$A$200&lt;&gt;"")),1)),"")</f>
        <v/>
      </c>
      <c r="B67" s="7" t="str">
        <f>IF($A67="","",SUMIFS('Raw Data'!$F:$F,'Raw Data'!$A:$A,$A67,'Raw Data'!$E:$E,B$3))</f>
        <v/>
      </c>
      <c r="C67" s="8" t="str">
        <f>IF($A67="","",SUMIFS('Raw Data'!$J:$J,'Raw Data'!$A:$A,$A67,'Raw Data'!$E:$E,B$3))</f>
        <v/>
      </c>
      <c r="D67" s="7" t="str">
        <f>IF($A67="","",SUMIFS('Raw Data'!$F:$F,'Raw Data'!$A:$A,$A67,'Raw Data'!$E:$E,D$3))</f>
        <v/>
      </c>
      <c r="E67" s="8" t="str">
        <f>IF($A67="","",SUMIFS('Raw Data'!$J:$J,'Raw Data'!$A:$A,$A67,'Raw Data'!$E:$E,D$3))</f>
        <v/>
      </c>
      <c r="F67" s="7" t="str">
        <f>IF($A67="","",SUMIFS('Raw Data'!$F:$F,'Raw Data'!$A:$A,$A67,'Raw Data'!$E:$E,F$3))</f>
        <v/>
      </c>
      <c r="G67" s="8" t="str">
        <f>IF($A67="","",SUMIFS('Raw Data'!$J:$J,'Raw Data'!$A:$A,$A67,'Raw Data'!$E:$E,F$3))</f>
        <v/>
      </c>
      <c r="H67" s="7" t="str">
        <f>IF($A67="","",SUMIFS('Raw Data'!$F:$F,'Raw Data'!$A:$A,$A67,'Raw Data'!$E:$E,H$3))</f>
        <v/>
      </c>
      <c r="I67" s="8" t="str">
        <f>IF($A67="","",SUMIFS('Raw Data'!$J:$J,'Raw Data'!$A:$A,$A67,'Raw Data'!$E:$E,H$3))</f>
        <v/>
      </c>
      <c r="J67" s="9" t="str">
        <f t="shared" si="3"/>
        <v/>
      </c>
      <c r="K67" s="10" t="str">
        <f t="shared" si="4"/>
        <v/>
      </c>
      <c r="L67" s="5" t="str">
        <f t="shared" si="5"/>
        <v/>
      </c>
    </row>
    <row r="68" spans="1:12" x14ac:dyDescent="0.3">
      <c r="A68" s="6" t="str">
        <f>IFERROR(INDEX('Raw Data'!$A$2:$A$200,_xlfn.AGGREGATE(15,6,(ROW('Raw Data'!$A$2:$A$200)-ROW('Raw Data'!$A$2)+1)/((COUNTIF($A$4:A67,'Raw Data'!$A$2:$A$200)=0)*('Raw Data'!$A$2:$A$200&lt;&gt;"")),1)),"")</f>
        <v/>
      </c>
      <c r="B68" s="7" t="str">
        <f>IF($A68="","",SUMIFS('Raw Data'!$F:$F,'Raw Data'!$A:$A,$A68,'Raw Data'!$E:$E,B$3))</f>
        <v/>
      </c>
      <c r="C68" s="8" t="str">
        <f>IF($A68="","",SUMIFS('Raw Data'!$J:$J,'Raw Data'!$A:$A,$A68,'Raw Data'!$E:$E,B$3))</f>
        <v/>
      </c>
      <c r="D68" s="7" t="str">
        <f>IF($A68="","",SUMIFS('Raw Data'!$F:$F,'Raw Data'!$A:$A,$A68,'Raw Data'!$E:$E,D$3))</f>
        <v/>
      </c>
      <c r="E68" s="8" t="str">
        <f>IF($A68="","",SUMIFS('Raw Data'!$J:$J,'Raw Data'!$A:$A,$A68,'Raw Data'!$E:$E,D$3))</f>
        <v/>
      </c>
      <c r="F68" s="7" t="str">
        <f>IF($A68="","",SUMIFS('Raw Data'!$F:$F,'Raw Data'!$A:$A,$A68,'Raw Data'!$E:$E,F$3))</f>
        <v/>
      </c>
      <c r="G68" s="8" t="str">
        <f>IF($A68="","",SUMIFS('Raw Data'!$J:$J,'Raw Data'!$A:$A,$A68,'Raw Data'!$E:$E,F$3))</f>
        <v/>
      </c>
      <c r="H68" s="7" t="str">
        <f>IF($A68="","",SUMIFS('Raw Data'!$F:$F,'Raw Data'!$A:$A,$A68,'Raw Data'!$E:$E,H$3))</f>
        <v/>
      </c>
      <c r="I68" s="8" t="str">
        <f>IF($A68="","",SUMIFS('Raw Data'!$J:$J,'Raw Data'!$A:$A,$A68,'Raw Data'!$E:$E,H$3))</f>
        <v/>
      </c>
      <c r="J68" s="9" t="str">
        <f t="shared" si="3"/>
        <v/>
      </c>
      <c r="K68" s="10" t="str">
        <f t="shared" si="4"/>
        <v/>
      </c>
      <c r="L68" s="5" t="str">
        <f t="shared" si="5"/>
        <v/>
      </c>
    </row>
    <row r="69" spans="1:12" x14ac:dyDescent="0.3">
      <c r="A69" s="6" t="str">
        <f>IFERROR(INDEX('Raw Data'!$A$2:$A$200,_xlfn.AGGREGATE(15,6,(ROW('Raw Data'!$A$2:$A$200)-ROW('Raw Data'!$A$2)+1)/((COUNTIF($A$4:A68,'Raw Data'!$A$2:$A$200)=0)*('Raw Data'!$A$2:$A$200&lt;&gt;"")),1)),"")</f>
        <v/>
      </c>
      <c r="B69" s="7" t="str">
        <f>IF($A69="","",SUMIFS('Raw Data'!$F:$F,'Raw Data'!$A:$A,$A69,'Raw Data'!$E:$E,B$3))</f>
        <v/>
      </c>
      <c r="C69" s="8" t="str">
        <f>IF($A69="","",SUMIFS('Raw Data'!$J:$J,'Raw Data'!$A:$A,$A69,'Raw Data'!$E:$E,B$3))</f>
        <v/>
      </c>
      <c r="D69" s="7" t="str">
        <f>IF($A69="","",SUMIFS('Raw Data'!$F:$F,'Raw Data'!$A:$A,$A69,'Raw Data'!$E:$E,D$3))</f>
        <v/>
      </c>
      <c r="E69" s="8" t="str">
        <f>IF($A69="","",SUMIFS('Raw Data'!$J:$J,'Raw Data'!$A:$A,$A69,'Raw Data'!$E:$E,D$3))</f>
        <v/>
      </c>
      <c r="F69" s="7" t="str">
        <f>IF($A69="","",SUMIFS('Raw Data'!$F:$F,'Raw Data'!$A:$A,$A69,'Raw Data'!$E:$E,F$3))</f>
        <v/>
      </c>
      <c r="G69" s="8" t="str">
        <f>IF($A69="","",SUMIFS('Raw Data'!$J:$J,'Raw Data'!$A:$A,$A69,'Raw Data'!$E:$E,F$3))</f>
        <v/>
      </c>
      <c r="H69" s="7" t="str">
        <f>IF($A69="","",SUMIFS('Raw Data'!$F:$F,'Raw Data'!$A:$A,$A69,'Raw Data'!$E:$E,H$3))</f>
        <v/>
      </c>
      <c r="I69" s="8" t="str">
        <f>IF($A69="","",SUMIFS('Raw Data'!$J:$J,'Raw Data'!$A:$A,$A69,'Raw Data'!$E:$E,H$3))</f>
        <v/>
      </c>
      <c r="J69" s="9" t="str">
        <f t="shared" ref="J69:J100" si="6">IF($A69="","",B69+D69+F69+H69)</f>
        <v/>
      </c>
      <c r="K69" s="10" t="str">
        <f t="shared" ref="K69:K100" si="7">IF($A69="","",C69+E69+G69+I69)</f>
        <v/>
      </c>
      <c r="L69" s="5" t="str">
        <f t="shared" ref="L69:L100" si="8">IF($A69="","",J69+K69)</f>
        <v/>
      </c>
    </row>
    <row r="70" spans="1:12" x14ac:dyDescent="0.3">
      <c r="A70" s="6" t="str">
        <f>IFERROR(INDEX('Raw Data'!$A$2:$A$200,_xlfn.AGGREGATE(15,6,(ROW('Raw Data'!$A$2:$A$200)-ROW('Raw Data'!$A$2)+1)/((COUNTIF($A$4:A69,'Raw Data'!$A$2:$A$200)=0)*('Raw Data'!$A$2:$A$200&lt;&gt;"")),1)),"")</f>
        <v/>
      </c>
      <c r="B70" s="7" t="str">
        <f>IF($A70="","",SUMIFS('Raw Data'!$F:$F,'Raw Data'!$A:$A,$A70,'Raw Data'!$E:$E,B$3))</f>
        <v/>
      </c>
      <c r="C70" s="8" t="str">
        <f>IF($A70="","",SUMIFS('Raw Data'!$J:$J,'Raw Data'!$A:$A,$A70,'Raw Data'!$E:$E,B$3))</f>
        <v/>
      </c>
      <c r="D70" s="7" t="str">
        <f>IF($A70="","",SUMIFS('Raw Data'!$F:$F,'Raw Data'!$A:$A,$A70,'Raw Data'!$E:$E,D$3))</f>
        <v/>
      </c>
      <c r="E70" s="8" t="str">
        <f>IF($A70="","",SUMIFS('Raw Data'!$J:$J,'Raw Data'!$A:$A,$A70,'Raw Data'!$E:$E,D$3))</f>
        <v/>
      </c>
      <c r="F70" s="7" t="str">
        <f>IF($A70="","",SUMIFS('Raw Data'!$F:$F,'Raw Data'!$A:$A,$A70,'Raw Data'!$E:$E,F$3))</f>
        <v/>
      </c>
      <c r="G70" s="8" t="str">
        <f>IF($A70="","",SUMIFS('Raw Data'!$J:$J,'Raw Data'!$A:$A,$A70,'Raw Data'!$E:$E,F$3))</f>
        <v/>
      </c>
      <c r="H70" s="7" t="str">
        <f>IF($A70="","",SUMIFS('Raw Data'!$F:$F,'Raw Data'!$A:$A,$A70,'Raw Data'!$E:$E,H$3))</f>
        <v/>
      </c>
      <c r="I70" s="8" t="str">
        <f>IF($A70="","",SUMIFS('Raw Data'!$J:$J,'Raw Data'!$A:$A,$A70,'Raw Data'!$E:$E,H$3))</f>
        <v/>
      </c>
      <c r="J70" s="9" t="str">
        <f t="shared" si="6"/>
        <v/>
      </c>
      <c r="K70" s="10" t="str">
        <f t="shared" si="7"/>
        <v/>
      </c>
      <c r="L70" s="5" t="str">
        <f t="shared" si="8"/>
        <v/>
      </c>
    </row>
    <row r="71" spans="1:12" x14ac:dyDescent="0.3">
      <c r="A71" s="6" t="str">
        <f>IFERROR(INDEX('Raw Data'!$A$2:$A$200,_xlfn.AGGREGATE(15,6,(ROW('Raw Data'!$A$2:$A$200)-ROW('Raw Data'!$A$2)+1)/((COUNTIF($A$4:A70,'Raw Data'!$A$2:$A$200)=0)*('Raw Data'!$A$2:$A$200&lt;&gt;"")),1)),"")</f>
        <v/>
      </c>
      <c r="B71" s="7" t="str">
        <f>IF($A71="","",SUMIFS('Raw Data'!$F:$F,'Raw Data'!$A:$A,$A71,'Raw Data'!$E:$E,B$3))</f>
        <v/>
      </c>
      <c r="C71" s="8" t="str">
        <f>IF($A71="","",SUMIFS('Raw Data'!$J:$J,'Raw Data'!$A:$A,$A71,'Raw Data'!$E:$E,B$3))</f>
        <v/>
      </c>
      <c r="D71" s="7" t="str">
        <f>IF($A71="","",SUMIFS('Raw Data'!$F:$F,'Raw Data'!$A:$A,$A71,'Raw Data'!$E:$E,D$3))</f>
        <v/>
      </c>
      <c r="E71" s="8" t="str">
        <f>IF($A71="","",SUMIFS('Raw Data'!$J:$J,'Raw Data'!$A:$A,$A71,'Raw Data'!$E:$E,D$3))</f>
        <v/>
      </c>
      <c r="F71" s="7" t="str">
        <f>IF($A71="","",SUMIFS('Raw Data'!$F:$F,'Raw Data'!$A:$A,$A71,'Raw Data'!$E:$E,F$3))</f>
        <v/>
      </c>
      <c r="G71" s="8" t="str">
        <f>IF($A71="","",SUMIFS('Raw Data'!$J:$J,'Raw Data'!$A:$A,$A71,'Raw Data'!$E:$E,F$3))</f>
        <v/>
      </c>
      <c r="H71" s="7" t="str">
        <f>IF($A71="","",SUMIFS('Raw Data'!$F:$F,'Raw Data'!$A:$A,$A71,'Raw Data'!$E:$E,H$3))</f>
        <v/>
      </c>
      <c r="I71" s="8" t="str">
        <f>IF($A71="","",SUMIFS('Raw Data'!$J:$J,'Raw Data'!$A:$A,$A71,'Raw Data'!$E:$E,H$3))</f>
        <v/>
      </c>
      <c r="J71" s="9" t="str">
        <f t="shared" si="6"/>
        <v/>
      </c>
      <c r="K71" s="10" t="str">
        <f t="shared" si="7"/>
        <v/>
      </c>
      <c r="L71" s="5" t="str">
        <f t="shared" si="8"/>
        <v/>
      </c>
    </row>
    <row r="72" spans="1:12" x14ac:dyDescent="0.3">
      <c r="A72" s="6" t="str">
        <f>IFERROR(INDEX('Raw Data'!$A$2:$A$200,_xlfn.AGGREGATE(15,6,(ROW('Raw Data'!$A$2:$A$200)-ROW('Raw Data'!$A$2)+1)/((COUNTIF($A$4:A71,'Raw Data'!$A$2:$A$200)=0)*('Raw Data'!$A$2:$A$200&lt;&gt;"")),1)),"")</f>
        <v/>
      </c>
      <c r="B72" s="7" t="str">
        <f>IF($A72="","",SUMIFS('Raw Data'!$F:$F,'Raw Data'!$A:$A,$A72,'Raw Data'!$E:$E,B$3))</f>
        <v/>
      </c>
      <c r="C72" s="8" t="str">
        <f>IF($A72="","",SUMIFS('Raw Data'!$J:$J,'Raw Data'!$A:$A,$A72,'Raw Data'!$E:$E,B$3))</f>
        <v/>
      </c>
      <c r="D72" s="7" t="str">
        <f>IF($A72="","",SUMIFS('Raw Data'!$F:$F,'Raw Data'!$A:$A,$A72,'Raw Data'!$E:$E,D$3))</f>
        <v/>
      </c>
      <c r="E72" s="8" t="str">
        <f>IF($A72="","",SUMIFS('Raw Data'!$J:$J,'Raw Data'!$A:$A,$A72,'Raw Data'!$E:$E,D$3))</f>
        <v/>
      </c>
      <c r="F72" s="7" t="str">
        <f>IF($A72="","",SUMIFS('Raw Data'!$F:$F,'Raw Data'!$A:$A,$A72,'Raw Data'!$E:$E,F$3))</f>
        <v/>
      </c>
      <c r="G72" s="8" t="str">
        <f>IF($A72="","",SUMIFS('Raw Data'!$J:$J,'Raw Data'!$A:$A,$A72,'Raw Data'!$E:$E,F$3))</f>
        <v/>
      </c>
      <c r="H72" s="7" t="str">
        <f>IF($A72="","",SUMIFS('Raw Data'!$F:$F,'Raw Data'!$A:$A,$A72,'Raw Data'!$E:$E,H$3))</f>
        <v/>
      </c>
      <c r="I72" s="8" t="str">
        <f>IF($A72="","",SUMIFS('Raw Data'!$J:$J,'Raw Data'!$A:$A,$A72,'Raw Data'!$E:$E,H$3))</f>
        <v/>
      </c>
      <c r="J72" s="9" t="str">
        <f t="shared" si="6"/>
        <v/>
      </c>
      <c r="K72" s="10" t="str">
        <f t="shared" si="7"/>
        <v/>
      </c>
      <c r="L72" s="5" t="str">
        <f t="shared" si="8"/>
        <v/>
      </c>
    </row>
    <row r="73" spans="1:12" x14ac:dyDescent="0.3">
      <c r="A73" s="6" t="str">
        <f>IFERROR(INDEX('Raw Data'!$A$2:$A$200,_xlfn.AGGREGATE(15,6,(ROW('Raw Data'!$A$2:$A$200)-ROW('Raw Data'!$A$2)+1)/((COUNTIF($A$4:A72,'Raw Data'!$A$2:$A$200)=0)*('Raw Data'!$A$2:$A$200&lt;&gt;"")),1)),"")</f>
        <v/>
      </c>
      <c r="B73" s="7" t="str">
        <f>IF($A73="","",SUMIFS('Raw Data'!$F:$F,'Raw Data'!$A:$A,$A73,'Raw Data'!$E:$E,B$3))</f>
        <v/>
      </c>
      <c r="C73" s="8" t="str">
        <f>IF($A73="","",SUMIFS('Raw Data'!$J:$J,'Raw Data'!$A:$A,$A73,'Raw Data'!$E:$E,B$3))</f>
        <v/>
      </c>
      <c r="D73" s="7" t="str">
        <f>IF($A73="","",SUMIFS('Raw Data'!$F:$F,'Raw Data'!$A:$A,$A73,'Raw Data'!$E:$E,D$3))</f>
        <v/>
      </c>
      <c r="E73" s="8" t="str">
        <f>IF($A73="","",SUMIFS('Raw Data'!$J:$J,'Raw Data'!$A:$A,$A73,'Raw Data'!$E:$E,D$3))</f>
        <v/>
      </c>
      <c r="F73" s="7" t="str">
        <f>IF($A73="","",SUMIFS('Raw Data'!$F:$F,'Raw Data'!$A:$A,$A73,'Raw Data'!$E:$E,F$3))</f>
        <v/>
      </c>
      <c r="G73" s="8" t="str">
        <f>IF($A73="","",SUMIFS('Raw Data'!$J:$J,'Raw Data'!$A:$A,$A73,'Raw Data'!$E:$E,F$3))</f>
        <v/>
      </c>
      <c r="H73" s="7" t="str">
        <f>IF($A73="","",SUMIFS('Raw Data'!$F:$F,'Raw Data'!$A:$A,$A73,'Raw Data'!$E:$E,H$3))</f>
        <v/>
      </c>
      <c r="I73" s="8" t="str">
        <f>IF($A73="","",SUMIFS('Raw Data'!$J:$J,'Raw Data'!$A:$A,$A73,'Raw Data'!$E:$E,H$3))</f>
        <v/>
      </c>
      <c r="J73" s="9" t="str">
        <f t="shared" si="6"/>
        <v/>
      </c>
      <c r="K73" s="10" t="str">
        <f t="shared" si="7"/>
        <v/>
      </c>
      <c r="L73" s="5" t="str">
        <f t="shared" si="8"/>
        <v/>
      </c>
    </row>
    <row r="74" spans="1:12" x14ac:dyDescent="0.3">
      <c r="A74" s="6" t="str">
        <f>IFERROR(INDEX('Raw Data'!$A$2:$A$200,_xlfn.AGGREGATE(15,6,(ROW('Raw Data'!$A$2:$A$200)-ROW('Raw Data'!$A$2)+1)/((COUNTIF($A$4:A73,'Raw Data'!$A$2:$A$200)=0)*('Raw Data'!$A$2:$A$200&lt;&gt;"")),1)),"")</f>
        <v/>
      </c>
      <c r="B74" s="7" t="str">
        <f>IF($A74="","",SUMIFS('Raw Data'!$F:$F,'Raw Data'!$A:$A,$A74,'Raw Data'!$E:$E,B$3))</f>
        <v/>
      </c>
      <c r="C74" s="8" t="str">
        <f>IF($A74="","",SUMIFS('Raw Data'!$J:$J,'Raw Data'!$A:$A,$A74,'Raw Data'!$E:$E,B$3))</f>
        <v/>
      </c>
      <c r="D74" s="7" t="str">
        <f>IF($A74="","",SUMIFS('Raw Data'!$F:$F,'Raw Data'!$A:$A,$A74,'Raw Data'!$E:$E,D$3))</f>
        <v/>
      </c>
      <c r="E74" s="8" t="str">
        <f>IF($A74="","",SUMIFS('Raw Data'!$J:$J,'Raw Data'!$A:$A,$A74,'Raw Data'!$E:$E,D$3))</f>
        <v/>
      </c>
      <c r="F74" s="7" t="str">
        <f>IF($A74="","",SUMIFS('Raw Data'!$F:$F,'Raw Data'!$A:$A,$A74,'Raw Data'!$E:$E,F$3))</f>
        <v/>
      </c>
      <c r="G74" s="8" t="str">
        <f>IF($A74="","",SUMIFS('Raw Data'!$J:$J,'Raw Data'!$A:$A,$A74,'Raw Data'!$E:$E,F$3))</f>
        <v/>
      </c>
      <c r="H74" s="7" t="str">
        <f>IF($A74="","",SUMIFS('Raw Data'!$F:$F,'Raw Data'!$A:$A,$A74,'Raw Data'!$E:$E,H$3))</f>
        <v/>
      </c>
      <c r="I74" s="8" t="str">
        <f>IF($A74="","",SUMIFS('Raw Data'!$J:$J,'Raw Data'!$A:$A,$A74,'Raw Data'!$E:$E,H$3))</f>
        <v/>
      </c>
      <c r="J74" s="9" t="str">
        <f t="shared" si="6"/>
        <v/>
      </c>
      <c r="K74" s="10" t="str">
        <f t="shared" si="7"/>
        <v/>
      </c>
      <c r="L74" s="5" t="str">
        <f t="shared" si="8"/>
        <v/>
      </c>
    </row>
    <row r="75" spans="1:12" x14ac:dyDescent="0.3">
      <c r="A75" s="6" t="str">
        <f>IFERROR(INDEX('Raw Data'!$A$2:$A$200,_xlfn.AGGREGATE(15,6,(ROW('Raw Data'!$A$2:$A$200)-ROW('Raw Data'!$A$2)+1)/((COUNTIF($A$4:A74,'Raw Data'!$A$2:$A$200)=0)*('Raw Data'!$A$2:$A$200&lt;&gt;"")),1)),"")</f>
        <v/>
      </c>
      <c r="B75" s="7" t="str">
        <f>IF($A75="","",SUMIFS('Raw Data'!$F:$F,'Raw Data'!$A:$A,$A75,'Raw Data'!$E:$E,B$3))</f>
        <v/>
      </c>
      <c r="C75" s="8" t="str">
        <f>IF($A75="","",SUMIFS('Raw Data'!$J:$J,'Raw Data'!$A:$A,$A75,'Raw Data'!$E:$E,B$3))</f>
        <v/>
      </c>
      <c r="D75" s="7" t="str">
        <f>IF($A75="","",SUMIFS('Raw Data'!$F:$F,'Raw Data'!$A:$A,$A75,'Raw Data'!$E:$E,D$3))</f>
        <v/>
      </c>
      <c r="E75" s="8" t="str">
        <f>IF($A75="","",SUMIFS('Raw Data'!$J:$J,'Raw Data'!$A:$A,$A75,'Raw Data'!$E:$E,D$3))</f>
        <v/>
      </c>
      <c r="F75" s="7" t="str">
        <f>IF($A75="","",SUMIFS('Raw Data'!$F:$F,'Raw Data'!$A:$A,$A75,'Raw Data'!$E:$E,F$3))</f>
        <v/>
      </c>
      <c r="G75" s="8" t="str">
        <f>IF($A75="","",SUMIFS('Raw Data'!$J:$J,'Raw Data'!$A:$A,$A75,'Raw Data'!$E:$E,F$3))</f>
        <v/>
      </c>
      <c r="H75" s="7" t="str">
        <f>IF($A75="","",SUMIFS('Raw Data'!$F:$F,'Raw Data'!$A:$A,$A75,'Raw Data'!$E:$E,H$3))</f>
        <v/>
      </c>
      <c r="I75" s="8" t="str">
        <f>IF($A75="","",SUMIFS('Raw Data'!$J:$J,'Raw Data'!$A:$A,$A75,'Raw Data'!$E:$E,H$3))</f>
        <v/>
      </c>
      <c r="J75" s="9" t="str">
        <f t="shared" si="6"/>
        <v/>
      </c>
      <c r="K75" s="10" t="str">
        <f t="shared" si="7"/>
        <v/>
      </c>
      <c r="L75" s="5" t="str">
        <f t="shared" si="8"/>
        <v/>
      </c>
    </row>
    <row r="76" spans="1:12" x14ac:dyDescent="0.3">
      <c r="A76" s="6" t="str">
        <f>IFERROR(INDEX('Raw Data'!$A$2:$A$200,_xlfn.AGGREGATE(15,6,(ROW('Raw Data'!$A$2:$A$200)-ROW('Raw Data'!$A$2)+1)/((COUNTIF($A$4:A75,'Raw Data'!$A$2:$A$200)=0)*('Raw Data'!$A$2:$A$200&lt;&gt;"")),1)),"")</f>
        <v/>
      </c>
      <c r="B76" s="7" t="str">
        <f>IF($A76="","",SUMIFS('Raw Data'!$F:$F,'Raw Data'!$A:$A,$A76,'Raw Data'!$E:$E,B$3))</f>
        <v/>
      </c>
      <c r="C76" s="8" t="str">
        <f>IF($A76="","",SUMIFS('Raw Data'!$J:$J,'Raw Data'!$A:$A,$A76,'Raw Data'!$E:$E,B$3))</f>
        <v/>
      </c>
      <c r="D76" s="7" t="str">
        <f>IF($A76="","",SUMIFS('Raw Data'!$F:$F,'Raw Data'!$A:$A,$A76,'Raw Data'!$E:$E,D$3))</f>
        <v/>
      </c>
      <c r="E76" s="8" t="str">
        <f>IF($A76="","",SUMIFS('Raw Data'!$J:$J,'Raw Data'!$A:$A,$A76,'Raw Data'!$E:$E,D$3))</f>
        <v/>
      </c>
      <c r="F76" s="7" t="str">
        <f>IF($A76="","",SUMIFS('Raw Data'!$F:$F,'Raw Data'!$A:$A,$A76,'Raw Data'!$E:$E,F$3))</f>
        <v/>
      </c>
      <c r="G76" s="8" t="str">
        <f>IF($A76="","",SUMIFS('Raw Data'!$J:$J,'Raw Data'!$A:$A,$A76,'Raw Data'!$E:$E,F$3))</f>
        <v/>
      </c>
      <c r="H76" s="7" t="str">
        <f>IF($A76="","",SUMIFS('Raw Data'!$F:$F,'Raw Data'!$A:$A,$A76,'Raw Data'!$E:$E,H$3))</f>
        <v/>
      </c>
      <c r="I76" s="8" t="str">
        <f>IF($A76="","",SUMIFS('Raw Data'!$J:$J,'Raw Data'!$A:$A,$A76,'Raw Data'!$E:$E,H$3))</f>
        <v/>
      </c>
      <c r="J76" s="9" t="str">
        <f t="shared" si="6"/>
        <v/>
      </c>
      <c r="K76" s="10" t="str">
        <f t="shared" si="7"/>
        <v/>
      </c>
      <c r="L76" s="5" t="str">
        <f t="shared" si="8"/>
        <v/>
      </c>
    </row>
    <row r="77" spans="1:12" x14ac:dyDescent="0.3">
      <c r="A77" s="6" t="str">
        <f>IFERROR(INDEX('Raw Data'!$A$2:$A$200,_xlfn.AGGREGATE(15,6,(ROW('Raw Data'!$A$2:$A$200)-ROW('Raw Data'!$A$2)+1)/((COUNTIF($A$4:A76,'Raw Data'!$A$2:$A$200)=0)*('Raw Data'!$A$2:$A$200&lt;&gt;"")),1)),"")</f>
        <v/>
      </c>
      <c r="B77" s="7" t="str">
        <f>IF($A77="","",SUMIFS('Raw Data'!$F:$F,'Raw Data'!$A:$A,$A77,'Raw Data'!$E:$E,B$3))</f>
        <v/>
      </c>
      <c r="C77" s="8" t="str">
        <f>IF($A77="","",SUMIFS('Raw Data'!$J:$J,'Raw Data'!$A:$A,$A77,'Raw Data'!$E:$E,B$3))</f>
        <v/>
      </c>
      <c r="D77" s="7" t="str">
        <f>IF($A77="","",SUMIFS('Raw Data'!$F:$F,'Raw Data'!$A:$A,$A77,'Raw Data'!$E:$E,D$3))</f>
        <v/>
      </c>
      <c r="E77" s="8" t="str">
        <f>IF($A77="","",SUMIFS('Raw Data'!$J:$J,'Raw Data'!$A:$A,$A77,'Raw Data'!$E:$E,D$3))</f>
        <v/>
      </c>
      <c r="F77" s="7" t="str">
        <f>IF($A77="","",SUMIFS('Raw Data'!$F:$F,'Raw Data'!$A:$A,$A77,'Raw Data'!$E:$E,F$3))</f>
        <v/>
      </c>
      <c r="G77" s="8" t="str">
        <f>IF($A77="","",SUMIFS('Raw Data'!$J:$J,'Raw Data'!$A:$A,$A77,'Raw Data'!$E:$E,F$3))</f>
        <v/>
      </c>
      <c r="H77" s="7" t="str">
        <f>IF($A77="","",SUMIFS('Raw Data'!$F:$F,'Raw Data'!$A:$A,$A77,'Raw Data'!$E:$E,H$3))</f>
        <v/>
      </c>
      <c r="I77" s="8" t="str">
        <f>IF($A77="","",SUMIFS('Raw Data'!$J:$J,'Raw Data'!$A:$A,$A77,'Raw Data'!$E:$E,H$3))</f>
        <v/>
      </c>
      <c r="J77" s="9" t="str">
        <f t="shared" si="6"/>
        <v/>
      </c>
      <c r="K77" s="10" t="str">
        <f t="shared" si="7"/>
        <v/>
      </c>
      <c r="L77" s="5" t="str">
        <f t="shared" si="8"/>
        <v/>
      </c>
    </row>
    <row r="78" spans="1:12" x14ac:dyDescent="0.3">
      <c r="A78" s="6" t="str">
        <f>IFERROR(INDEX('Raw Data'!$A$2:$A$200,_xlfn.AGGREGATE(15,6,(ROW('Raw Data'!$A$2:$A$200)-ROW('Raw Data'!$A$2)+1)/((COUNTIF($A$4:A77,'Raw Data'!$A$2:$A$200)=0)*('Raw Data'!$A$2:$A$200&lt;&gt;"")),1)),"")</f>
        <v/>
      </c>
      <c r="B78" s="7" t="str">
        <f>IF($A78="","",SUMIFS('Raw Data'!$F:$F,'Raw Data'!$A:$A,$A78,'Raw Data'!$E:$E,B$3))</f>
        <v/>
      </c>
      <c r="C78" s="8" t="str">
        <f>IF($A78="","",SUMIFS('Raw Data'!$J:$J,'Raw Data'!$A:$A,$A78,'Raw Data'!$E:$E,B$3))</f>
        <v/>
      </c>
      <c r="D78" s="7" t="str">
        <f>IF($A78="","",SUMIFS('Raw Data'!$F:$F,'Raw Data'!$A:$A,$A78,'Raw Data'!$E:$E,D$3))</f>
        <v/>
      </c>
      <c r="E78" s="8" t="str">
        <f>IF($A78="","",SUMIFS('Raw Data'!$J:$J,'Raw Data'!$A:$A,$A78,'Raw Data'!$E:$E,D$3))</f>
        <v/>
      </c>
      <c r="F78" s="7" t="str">
        <f>IF($A78="","",SUMIFS('Raw Data'!$F:$F,'Raw Data'!$A:$A,$A78,'Raw Data'!$E:$E,F$3))</f>
        <v/>
      </c>
      <c r="G78" s="8" t="str">
        <f>IF($A78="","",SUMIFS('Raw Data'!$J:$J,'Raw Data'!$A:$A,$A78,'Raw Data'!$E:$E,F$3))</f>
        <v/>
      </c>
      <c r="H78" s="7" t="str">
        <f>IF($A78="","",SUMIFS('Raw Data'!$F:$F,'Raw Data'!$A:$A,$A78,'Raw Data'!$E:$E,H$3))</f>
        <v/>
      </c>
      <c r="I78" s="8" t="str">
        <f>IF($A78="","",SUMIFS('Raw Data'!$J:$J,'Raw Data'!$A:$A,$A78,'Raw Data'!$E:$E,H$3))</f>
        <v/>
      </c>
      <c r="J78" s="9" t="str">
        <f t="shared" si="6"/>
        <v/>
      </c>
      <c r="K78" s="10" t="str">
        <f t="shared" si="7"/>
        <v/>
      </c>
      <c r="L78" s="5" t="str">
        <f t="shared" si="8"/>
        <v/>
      </c>
    </row>
    <row r="79" spans="1:12" x14ac:dyDescent="0.3">
      <c r="A79" s="6" t="str">
        <f>IFERROR(INDEX('Raw Data'!$A$2:$A$200,_xlfn.AGGREGATE(15,6,(ROW('Raw Data'!$A$2:$A$200)-ROW('Raw Data'!$A$2)+1)/((COUNTIF($A$4:A78,'Raw Data'!$A$2:$A$200)=0)*('Raw Data'!$A$2:$A$200&lt;&gt;"")),1)),"")</f>
        <v/>
      </c>
      <c r="B79" s="7" t="str">
        <f>IF($A79="","",SUMIFS('Raw Data'!$F:$F,'Raw Data'!$A:$A,$A79,'Raw Data'!$E:$E,B$3))</f>
        <v/>
      </c>
      <c r="C79" s="8" t="str">
        <f>IF($A79="","",SUMIFS('Raw Data'!$J:$J,'Raw Data'!$A:$A,$A79,'Raw Data'!$E:$E,B$3))</f>
        <v/>
      </c>
      <c r="D79" s="7" t="str">
        <f>IF($A79="","",SUMIFS('Raw Data'!$F:$F,'Raw Data'!$A:$A,$A79,'Raw Data'!$E:$E,D$3))</f>
        <v/>
      </c>
      <c r="E79" s="8" t="str">
        <f>IF($A79="","",SUMIFS('Raw Data'!$J:$J,'Raw Data'!$A:$A,$A79,'Raw Data'!$E:$E,D$3))</f>
        <v/>
      </c>
      <c r="F79" s="7" t="str">
        <f>IF($A79="","",SUMIFS('Raw Data'!$F:$F,'Raw Data'!$A:$A,$A79,'Raw Data'!$E:$E,F$3))</f>
        <v/>
      </c>
      <c r="G79" s="8" t="str">
        <f>IF($A79="","",SUMIFS('Raw Data'!$J:$J,'Raw Data'!$A:$A,$A79,'Raw Data'!$E:$E,F$3))</f>
        <v/>
      </c>
      <c r="H79" s="7" t="str">
        <f>IF($A79="","",SUMIFS('Raw Data'!$F:$F,'Raw Data'!$A:$A,$A79,'Raw Data'!$E:$E,H$3))</f>
        <v/>
      </c>
      <c r="I79" s="8" t="str">
        <f>IF($A79="","",SUMIFS('Raw Data'!$J:$J,'Raw Data'!$A:$A,$A79,'Raw Data'!$E:$E,H$3))</f>
        <v/>
      </c>
      <c r="J79" s="9" t="str">
        <f t="shared" si="6"/>
        <v/>
      </c>
      <c r="K79" s="10" t="str">
        <f t="shared" si="7"/>
        <v/>
      </c>
      <c r="L79" s="5" t="str">
        <f t="shared" si="8"/>
        <v/>
      </c>
    </row>
    <row r="80" spans="1:12" x14ac:dyDescent="0.3">
      <c r="A80" s="6" t="str">
        <f>IFERROR(INDEX('Raw Data'!$A$2:$A$200,_xlfn.AGGREGATE(15,6,(ROW('Raw Data'!$A$2:$A$200)-ROW('Raw Data'!$A$2)+1)/((COUNTIF($A$4:A79,'Raw Data'!$A$2:$A$200)=0)*('Raw Data'!$A$2:$A$200&lt;&gt;"")),1)),"")</f>
        <v/>
      </c>
      <c r="B80" s="7" t="str">
        <f>IF($A80="","",SUMIFS('Raw Data'!$F:$F,'Raw Data'!$A:$A,$A80,'Raw Data'!$E:$E,B$3))</f>
        <v/>
      </c>
      <c r="C80" s="8" t="str">
        <f>IF($A80="","",SUMIFS('Raw Data'!$J:$J,'Raw Data'!$A:$A,$A80,'Raw Data'!$E:$E,B$3))</f>
        <v/>
      </c>
      <c r="D80" s="7" t="str">
        <f>IF($A80="","",SUMIFS('Raw Data'!$F:$F,'Raw Data'!$A:$A,$A80,'Raw Data'!$E:$E,D$3))</f>
        <v/>
      </c>
      <c r="E80" s="8" t="str">
        <f>IF($A80="","",SUMIFS('Raw Data'!$J:$J,'Raw Data'!$A:$A,$A80,'Raw Data'!$E:$E,D$3))</f>
        <v/>
      </c>
      <c r="F80" s="7" t="str">
        <f>IF($A80="","",SUMIFS('Raw Data'!$F:$F,'Raw Data'!$A:$A,$A80,'Raw Data'!$E:$E,F$3))</f>
        <v/>
      </c>
      <c r="G80" s="8" t="str">
        <f>IF($A80="","",SUMIFS('Raw Data'!$J:$J,'Raw Data'!$A:$A,$A80,'Raw Data'!$E:$E,F$3))</f>
        <v/>
      </c>
      <c r="H80" s="7" t="str">
        <f>IF($A80="","",SUMIFS('Raw Data'!$F:$F,'Raw Data'!$A:$A,$A80,'Raw Data'!$E:$E,H$3))</f>
        <v/>
      </c>
      <c r="I80" s="8" t="str">
        <f>IF($A80="","",SUMIFS('Raw Data'!$J:$J,'Raw Data'!$A:$A,$A80,'Raw Data'!$E:$E,H$3))</f>
        <v/>
      </c>
      <c r="J80" s="9" t="str">
        <f t="shared" si="6"/>
        <v/>
      </c>
      <c r="K80" s="10" t="str">
        <f t="shared" si="7"/>
        <v/>
      </c>
      <c r="L80" s="5" t="str">
        <f t="shared" si="8"/>
        <v/>
      </c>
    </row>
    <row r="81" spans="1:12" x14ac:dyDescent="0.3">
      <c r="A81" s="6" t="str">
        <f>IFERROR(INDEX('Raw Data'!$A$2:$A$200,_xlfn.AGGREGATE(15,6,(ROW('Raw Data'!$A$2:$A$200)-ROW('Raw Data'!$A$2)+1)/((COUNTIF($A$4:A80,'Raw Data'!$A$2:$A$200)=0)*('Raw Data'!$A$2:$A$200&lt;&gt;"")),1)),"")</f>
        <v/>
      </c>
      <c r="B81" s="7" t="str">
        <f>IF($A81="","",SUMIFS('Raw Data'!$F:$F,'Raw Data'!$A:$A,$A81,'Raw Data'!$E:$E,B$3))</f>
        <v/>
      </c>
      <c r="C81" s="8" t="str">
        <f>IF($A81="","",SUMIFS('Raw Data'!$J:$J,'Raw Data'!$A:$A,$A81,'Raw Data'!$E:$E,B$3))</f>
        <v/>
      </c>
      <c r="D81" s="7" t="str">
        <f>IF($A81="","",SUMIFS('Raw Data'!$F:$F,'Raw Data'!$A:$A,$A81,'Raw Data'!$E:$E,D$3))</f>
        <v/>
      </c>
      <c r="E81" s="8" t="str">
        <f>IF($A81="","",SUMIFS('Raw Data'!$J:$J,'Raw Data'!$A:$A,$A81,'Raw Data'!$E:$E,D$3))</f>
        <v/>
      </c>
      <c r="F81" s="7" t="str">
        <f>IF($A81="","",SUMIFS('Raw Data'!$F:$F,'Raw Data'!$A:$A,$A81,'Raw Data'!$E:$E,F$3))</f>
        <v/>
      </c>
      <c r="G81" s="8" t="str">
        <f>IF($A81="","",SUMIFS('Raw Data'!$J:$J,'Raw Data'!$A:$A,$A81,'Raw Data'!$E:$E,F$3))</f>
        <v/>
      </c>
      <c r="H81" s="7" t="str">
        <f>IF($A81="","",SUMIFS('Raw Data'!$F:$F,'Raw Data'!$A:$A,$A81,'Raw Data'!$E:$E,H$3))</f>
        <v/>
      </c>
      <c r="I81" s="8" t="str">
        <f>IF($A81="","",SUMIFS('Raw Data'!$J:$J,'Raw Data'!$A:$A,$A81,'Raw Data'!$E:$E,H$3))</f>
        <v/>
      </c>
      <c r="J81" s="9" t="str">
        <f t="shared" si="6"/>
        <v/>
      </c>
      <c r="K81" s="10" t="str">
        <f t="shared" si="7"/>
        <v/>
      </c>
      <c r="L81" s="5" t="str">
        <f t="shared" si="8"/>
        <v/>
      </c>
    </row>
    <row r="82" spans="1:12" x14ac:dyDescent="0.3">
      <c r="A82" s="6" t="str">
        <f>IFERROR(INDEX('Raw Data'!$A$2:$A$200,_xlfn.AGGREGATE(15,6,(ROW('Raw Data'!$A$2:$A$200)-ROW('Raw Data'!$A$2)+1)/((COUNTIF($A$4:A81,'Raw Data'!$A$2:$A$200)=0)*('Raw Data'!$A$2:$A$200&lt;&gt;"")),1)),"")</f>
        <v/>
      </c>
      <c r="B82" s="7" t="str">
        <f>IF($A82="","",SUMIFS('Raw Data'!$F:$F,'Raw Data'!$A:$A,$A82,'Raw Data'!$E:$E,B$3))</f>
        <v/>
      </c>
      <c r="C82" s="8" t="str">
        <f>IF($A82="","",SUMIFS('Raw Data'!$J:$J,'Raw Data'!$A:$A,$A82,'Raw Data'!$E:$E,B$3))</f>
        <v/>
      </c>
      <c r="D82" s="7" t="str">
        <f>IF($A82="","",SUMIFS('Raw Data'!$F:$F,'Raw Data'!$A:$A,$A82,'Raw Data'!$E:$E,D$3))</f>
        <v/>
      </c>
      <c r="E82" s="8" t="str">
        <f>IF($A82="","",SUMIFS('Raw Data'!$J:$J,'Raw Data'!$A:$A,$A82,'Raw Data'!$E:$E,D$3))</f>
        <v/>
      </c>
      <c r="F82" s="7" t="str">
        <f>IF($A82="","",SUMIFS('Raw Data'!$F:$F,'Raw Data'!$A:$A,$A82,'Raw Data'!$E:$E,F$3))</f>
        <v/>
      </c>
      <c r="G82" s="8" t="str">
        <f>IF($A82="","",SUMIFS('Raw Data'!$J:$J,'Raw Data'!$A:$A,$A82,'Raw Data'!$E:$E,F$3))</f>
        <v/>
      </c>
      <c r="H82" s="7" t="str">
        <f>IF($A82="","",SUMIFS('Raw Data'!$F:$F,'Raw Data'!$A:$A,$A82,'Raw Data'!$E:$E,H$3))</f>
        <v/>
      </c>
      <c r="I82" s="8" t="str">
        <f>IF($A82="","",SUMIFS('Raw Data'!$J:$J,'Raw Data'!$A:$A,$A82,'Raw Data'!$E:$E,H$3))</f>
        <v/>
      </c>
      <c r="J82" s="9" t="str">
        <f t="shared" si="6"/>
        <v/>
      </c>
      <c r="K82" s="10" t="str">
        <f t="shared" si="7"/>
        <v/>
      </c>
      <c r="L82" s="5" t="str">
        <f t="shared" si="8"/>
        <v/>
      </c>
    </row>
    <row r="83" spans="1:12" x14ac:dyDescent="0.3">
      <c r="A83" s="6" t="str">
        <f>IFERROR(INDEX('Raw Data'!$A$2:$A$200,_xlfn.AGGREGATE(15,6,(ROW('Raw Data'!$A$2:$A$200)-ROW('Raw Data'!$A$2)+1)/((COUNTIF($A$4:A82,'Raw Data'!$A$2:$A$200)=0)*('Raw Data'!$A$2:$A$200&lt;&gt;"")),1)),"")</f>
        <v/>
      </c>
      <c r="B83" s="7" t="str">
        <f>IF($A83="","",SUMIFS('Raw Data'!$F:$F,'Raw Data'!$A:$A,$A83,'Raw Data'!$E:$E,B$3))</f>
        <v/>
      </c>
      <c r="C83" s="8" t="str">
        <f>IF($A83="","",SUMIFS('Raw Data'!$J:$J,'Raw Data'!$A:$A,$A83,'Raw Data'!$E:$E,B$3))</f>
        <v/>
      </c>
      <c r="D83" s="7" t="str">
        <f>IF($A83="","",SUMIFS('Raw Data'!$F:$F,'Raw Data'!$A:$A,$A83,'Raw Data'!$E:$E,D$3))</f>
        <v/>
      </c>
      <c r="E83" s="8" t="str">
        <f>IF($A83="","",SUMIFS('Raw Data'!$J:$J,'Raw Data'!$A:$A,$A83,'Raw Data'!$E:$E,D$3))</f>
        <v/>
      </c>
      <c r="F83" s="7" t="str">
        <f>IF($A83="","",SUMIFS('Raw Data'!$F:$F,'Raw Data'!$A:$A,$A83,'Raw Data'!$E:$E,F$3))</f>
        <v/>
      </c>
      <c r="G83" s="8" t="str">
        <f>IF($A83="","",SUMIFS('Raw Data'!$J:$J,'Raw Data'!$A:$A,$A83,'Raw Data'!$E:$E,F$3))</f>
        <v/>
      </c>
      <c r="H83" s="7" t="str">
        <f>IF($A83="","",SUMIFS('Raw Data'!$F:$F,'Raw Data'!$A:$A,$A83,'Raw Data'!$E:$E,H$3))</f>
        <v/>
      </c>
      <c r="I83" s="8" t="str">
        <f>IF($A83="","",SUMIFS('Raw Data'!$J:$J,'Raw Data'!$A:$A,$A83,'Raw Data'!$E:$E,H$3))</f>
        <v/>
      </c>
      <c r="J83" s="9" t="str">
        <f t="shared" si="6"/>
        <v/>
      </c>
      <c r="K83" s="10" t="str">
        <f t="shared" si="7"/>
        <v/>
      </c>
      <c r="L83" s="5" t="str">
        <f t="shared" si="8"/>
        <v/>
      </c>
    </row>
    <row r="84" spans="1:12" x14ac:dyDescent="0.3">
      <c r="A84" s="6" t="str">
        <f>IFERROR(INDEX('Raw Data'!$A$2:$A$200,_xlfn.AGGREGATE(15,6,(ROW('Raw Data'!$A$2:$A$200)-ROW('Raw Data'!$A$2)+1)/((COUNTIF($A$4:A83,'Raw Data'!$A$2:$A$200)=0)*('Raw Data'!$A$2:$A$200&lt;&gt;"")),1)),"")</f>
        <v/>
      </c>
      <c r="B84" s="7" t="str">
        <f>IF($A84="","",SUMIFS('Raw Data'!$F:$F,'Raw Data'!$A:$A,$A84,'Raw Data'!$E:$E,B$3))</f>
        <v/>
      </c>
      <c r="C84" s="8" t="str">
        <f>IF($A84="","",SUMIFS('Raw Data'!$J:$J,'Raw Data'!$A:$A,$A84,'Raw Data'!$E:$E,B$3))</f>
        <v/>
      </c>
      <c r="D84" s="7" t="str">
        <f>IF($A84="","",SUMIFS('Raw Data'!$F:$F,'Raw Data'!$A:$A,$A84,'Raw Data'!$E:$E,D$3))</f>
        <v/>
      </c>
      <c r="E84" s="8" t="str">
        <f>IF($A84="","",SUMIFS('Raw Data'!$J:$J,'Raw Data'!$A:$A,$A84,'Raw Data'!$E:$E,D$3))</f>
        <v/>
      </c>
      <c r="F84" s="7" t="str">
        <f>IF($A84="","",SUMIFS('Raw Data'!$F:$F,'Raw Data'!$A:$A,$A84,'Raw Data'!$E:$E,F$3))</f>
        <v/>
      </c>
      <c r="G84" s="8" t="str">
        <f>IF($A84="","",SUMIFS('Raw Data'!$J:$J,'Raw Data'!$A:$A,$A84,'Raw Data'!$E:$E,F$3))</f>
        <v/>
      </c>
      <c r="H84" s="7" t="str">
        <f>IF($A84="","",SUMIFS('Raw Data'!$F:$F,'Raw Data'!$A:$A,$A84,'Raw Data'!$E:$E,H$3))</f>
        <v/>
      </c>
      <c r="I84" s="8" t="str">
        <f>IF($A84="","",SUMIFS('Raw Data'!$J:$J,'Raw Data'!$A:$A,$A84,'Raw Data'!$E:$E,H$3))</f>
        <v/>
      </c>
      <c r="J84" s="9" t="str">
        <f t="shared" si="6"/>
        <v/>
      </c>
      <c r="K84" s="10" t="str">
        <f t="shared" si="7"/>
        <v/>
      </c>
      <c r="L84" s="5" t="str">
        <f t="shared" si="8"/>
        <v/>
      </c>
    </row>
    <row r="85" spans="1:12" x14ac:dyDescent="0.3">
      <c r="A85" s="6" t="str">
        <f>IFERROR(INDEX('Raw Data'!$A$2:$A$200,_xlfn.AGGREGATE(15,6,(ROW('Raw Data'!$A$2:$A$200)-ROW('Raw Data'!$A$2)+1)/((COUNTIF($A$4:A84,'Raw Data'!$A$2:$A$200)=0)*('Raw Data'!$A$2:$A$200&lt;&gt;"")),1)),"")</f>
        <v/>
      </c>
      <c r="B85" s="7" t="str">
        <f>IF($A85="","",SUMIFS('Raw Data'!$F:$F,'Raw Data'!$A:$A,$A85,'Raw Data'!$E:$E,B$3))</f>
        <v/>
      </c>
      <c r="C85" s="8" t="str">
        <f>IF($A85="","",SUMIFS('Raw Data'!$J:$J,'Raw Data'!$A:$A,$A85,'Raw Data'!$E:$E,B$3))</f>
        <v/>
      </c>
      <c r="D85" s="7" t="str">
        <f>IF($A85="","",SUMIFS('Raw Data'!$F:$F,'Raw Data'!$A:$A,$A85,'Raw Data'!$E:$E,D$3))</f>
        <v/>
      </c>
      <c r="E85" s="8" t="str">
        <f>IF($A85="","",SUMIFS('Raw Data'!$J:$J,'Raw Data'!$A:$A,$A85,'Raw Data'!$E:$E,D$3))</f>
        <v/>
      </c>
      <c r="F85" s="7" t="str">
        <f>IF($A85="","",SUMIFS('Raw Data'!$F:$F,'Raw Data'!$A:$A,$A85,'Raw Data'!$E:$E,F$3))</f>
        <v/>
      </c>
      <c r="G85" s="8" t="str">
        <f>IF($A85="","",SUMIFS('Raw Data'!$J:$J,'Raw Data'!$A:$A,$A85,'Raw Data'!$E:$E,F$3))</f>
        <v/>
      </c>
      <c r="H85" s="7" t="str">
        <f>IF($A85="","",SUMIFS('Raw Data'!$F:$F,'Raw Data'!$A:$A,$A85,'Raw Data'!$E:$E,H$3))</f>
        <v/>
      </c>
      <c r="I85" s="8" t="str">
        <f>IF($A85="","",SUMIFS('Raw Data'!$J:$J,'Raw Data'!$A:$A,$A85,'Raw Data'!$E:$E,H$3))</f>
        <v/>
      </c>
      <c r="J85" s="9" t="str">
        <f t="shared" si="6"/>
        <v/>
      </c>
      <c r="K85" s="10" t="str">
        <f t="shared" si="7"/>
        <v/>
      </c>
      <c r="L85" s="5" t="str">
        <f t="shared" si="8"/>
        <v/>
      </c>
    </row>
    <row r="86" spans="1:12" x14ac:dyDescent="0.3">
      <c r="A86" s="6" t="str">
        <f>IFERROR(INDEX('Raw Data'!$A$2:$A$200,_xlfn.AGGREGATE(15,6,(ROW('Raw Data'!$A$2:$A$200)-ROW('Raw Data'!$A$2)+1)/((COUNTIF($A$4:A85,'Raw Data'!$A$2:$A$200)=0)*('Raw Data'!$A$2:$A$200&lt;&gt;"")),1)),"")</f>
        <v/>
      </c>
      <c r="B86" s="7" t="str">
        <f>IF($A86="","",SUMIFS('Raw Data'!$F:$F,'Raw Data'!$A:$A,$A86,'Raw Data'!$E:$E,B$3))</f>
        <v/>
      </c>
      <c r="C86" s="8" t="str">
        <f>IF($A86="","",SUMIFS('Raw Data'!$J:$J,'Raw Data'!$A:$A,$A86,'Raw Data'!$E:$E,B$3))</f>
        <v/>
      </c>
      <c r="D86" s="7" t="str">
        <f>IF($A86="","",SUMIFS('Raw Data'!$F:$F,'Raw Data'!$A:$A,$A86,'Raw Data'!$E:$E,D$3))</f>
        <v/>
      </c>
      <c r="E86" s="8" t="str">
        <f>IF($A86="","",SUMIFS('Raw Data'!$J:$J,'Raw Data'!$A:$A,$A86,'Raw Data'!$E:$E,D$3))</f>
        <v/>
      </c>
      <c r="F86" s="7" t="str">
        <f>IF($A86="","",SUMIFS('Raw Data'!$F:$F,'Raw Data'!$A:$A,$A86,'Raw Data'!$E:$E,F$3))</f>
        <v/>
      </c>
      <c r="G86" s="8" t="str">
        <f>IF($A86="","",SUMIFS('Raw Data'!$J:$J,'Raw Data'!$A:$A,$A86,'Raw Data'!$E:$E,F$3))</f>
        <v/>
      </c>
      <c r="H86" s="7" t="str">
        <f>IF($A86="","",SUMIFS('Raw Data'!$F:$F,'Raw Data'!$A:$A,$A86,'Raw Data'!$E:$E,H$3))</f>
        <v/>
      </c>
      <c r="I86" s="8" t="str">
        <f>IF($A86="","",SUMIFS('Raw Data'!$J:$J,'Raw Data'!$A:$A,$A86,'Raw Data'!$E:$E,H$3))</f>
        <v/>
      </c>
      <c r="J86" s="9" t="str">
        <f t="shared" si="6"/>
        <v/>
      </c>
      <c r="K86" s="10" t="str">
        <f t="shared" si="7"/>
        <v/>
      </c>
      <c r="L86" s="5" t="str">
        <f t="shared" si="8"/>
        <v/>
      </c>
    </row>
    <row r="87" spans="1:12" x14ac:dyDescent="0.3">
      <c r="A87" s="6" t="str">
        <f>IFERROR(INDEX('Raw Data'!$A$2:$A$200,_xlfn.AGGREGATE(15,6,(ROW('Raw Data'!$A$2:$A$200)-ROW('Raw Data'!$A$2)+1)/((COUNTIF($A$4:A86,'Raw Data'!$A$2:$A$200)=0)*('Raw Data'!$A$2:$A$200&lt;&gt;"")),1)),"")</f>
        <v/>
      </c>
      <c r="B87" s="7" t="str">
        <f>IF($A87="","",SUMIFS('Raw Data'!$F:$F,'Raw Data'!$A:$A,$A87,'Raw Data'!$E:$E,B$3))</f>
        <v/>
      </c>
      <c r="C87" s="8" t="str">
        <f>IF($A87="","",SUMIFS('Raw Data'!$J:$J,'Raw Data'!$A:$A,$A87,'Raw Data'!$E:$E,B$3))</f>
        <v/>
      </c>
      <c r="D87" s="7" t="str">
        <f>IF($A87="","",SUMIFS('Raw Data'!$F:$F,'Raw Data'!$A:$A,$A87,'Raw Data'!$E:$E,D$3))</f>
        <v/>
      </c>
      <c r="E87" s="8" t="str">
        <f>IF($A87="","",SUMIFS('Raw Data'!$J:$J,'Raw Data'!$A:$A,$A87,'Raw Data'!$E:$E,D$3))</f>
        <v/>
      </c>
      <c r="F87" s="7" t="str">
        <f>IF($A87="","",SUMIFS('Raw Data'!$F:$F,'Raw Data'!$A:$A,$A87,'Raw Data'!$E:$E,F$3))</f>
        <v/>
      </c>
      <c r="G87" s="8" t="str">
        <f>IF($A87="","",SUMIFS('Raw Data'!$J:$J,'Raw Data'!$A:$A,$A87,'Raw Data'!$E:$E,F$3))</f>
        <v/>
      </c>
      <c r="H87" s="7" t="str">
        <f>IF($A87="","",SUMIFS('Raw Data'!$F:$F,'Raw Data'!$A:$A,$A87,'Raw Data'!$E:$E,H$3))</f>
        <v/>
      </c>
      <c r="I87" s="8" t="str">
        <f>IF($A87="","",SUMIFS('Raw Data'!$J:$J,'Raw Data'!$A:$A,$A87,'Raw Data'!$E:$E,H$3))</f>
        <v/>
      </c>
      <c r="J87" s="9" t="str">
        <f t="shared" si="6"/>
        <v/>
      </c>
      <c r="K87" s="10" t="str">
        <f t="shared" si="7"/>
        <v/>
      </c>
      <c r="L87" s="5" t="str">
        <f t="shared" si="8"/>
        <v/>
      </c>
    </row>
    <row r="88" spans="1:12" x14ac:dyDescent="0.3">
      <c r="A88" s="6" t="str">
        <f>IFERROR(INDEX('Raw Data'!$A$2:$A$200,_xlfn.AGGREGATE(15,6,(ROW('Raw Data'!$A$2:$A$200)-ROW('Raw Data'!$A$2)+1)/((COUNTIF($A$4:A87,'Raw Data'!$A$2:$A$200)=0)*('Raw Data'!$A$2:$A$200&lt;&gt;"")),1)),"")</f>
        <v/>
      </c>
      <c r="B88" s="7" t="str">
        <f>IF($A88="","",SUMIFS('Raw Data'!$F:$F,'Raw Data'!$A:$A,$A88,'Raw Data'!$E:$E,B$3))</f>
        <v/>
      </c>
      <c r="C88" s="8" t="str">
        <f>IF($A88="","",SUMIFS('Raw Data'!$J:$J,'Raw Data'!$A:$A,$A88,'Raw Data'!$E:$E,B$3))</f>
        <v/>
      </c>
      <c r="D88" s="7" t="str">
        <f>IF($A88="","",SUMIFS('Raw Data'!$F:$F,'Raw Data'!$A:$A,$A88,'Raw Data'!$E:$E,D$3))</f>
        <v/>
      </c>
      <c r="E88" s="8" t="str">
        <f>IF($A88="","",SUMIFS('Raw Data'!$J:$J,'Raw Data'!$A:$A,$A88,'Raw Data'!$E:$E,D$3))</f>
        <v/>
      </c>
      <c r="F88" s="7" t="str">
        <f>IF($A88="","",SUMIFS('Raw Data'!$F:$F,'Raw Data'!$A:$A,$A88,'Raw Data'!$E:$E,F$3))</f>
        <v/>
      </c>
      <c r="G88" s="8" t="str">
        <f>IF($A88="","",SUMIFS('Raw Data'!$J:$J,'Raw Data'!$A:$A,$A88,'Raw Data'!$E:$E,F$3))</f>
        <v/>
      </c>
      <c r="H88" s="7" t="str">
        <f>IF($A88="","",SUMIFS('Raw Data'!$F:$F,'Raw Data'!$A:$A,$A88,'Raw Data'!$E:$E,H$3))</f>
        <v/>
      </c>
      <c r="I88" s="8" t="str">
        <f>IF($A88="","",SUMIFS('Raw Data'!$J:$J,'Raw Data'!$A:$A,$A88,'Raw Data'!$E:$E,H$3))</f>
        <v/>
      </c>
      <c r="J88" s="9" t="str">
        <f t="shared" si="6"/>
        <v/>
      </c>
      <c r="K88" s="10" t="str">
        <f t="shared" si="7"/>
        <v/>
      </c>
      <c r="L88" s="5" t="str">
        <f t="shared" si="8"/>
        <v/>
      </c>
    </row>
    <row r="89" spans="1:12" x14ac:dyDescent="0.3">
      <c r="A89" s="6" t="str">
        <f>IFERROR(INDEX('Raw Data'!$A$2:$A$200,_xlfn.AGGREGATE(15,6,(ROW('Raw Data'!$A$2:$A$200)-ROW('Raw Data'!$A$2)+1)/((COUNTIF($A$4:A88,'Raw Data'!$A$2:$A$200)=0)*('Raw Data'!$A$2:$A$200&lt;&gt;"")),1)),"")</f>
        <v/>
      </c>
      <c r="B89" s="7" t="str">
        <f>IF($A89="","",SUMIFS('Raw Data'!$F:$F,'Raw Data'!$A:$A,$A89,'Raw Data'!$E:$E,B$3))</f>
        <v/>
      </c>
      <c r="C89" s="8" t="str">
        <f>IF($A89="","",SUMIFS('Raw Data'!$J:$J,'Raw Data'!$A:$A,$A89,'Raw Data'!$E:$E,B$3))</f>
        <v/>
      </c>
      <c r="D89" s="7" t="str">
        <f>IF($A89="","",SUMIFS('Raw Data'!$F:$F,'Raw Data'!$A:$A,$A89,'Raw Data'!$E:$E,D$3))</f>
        <v/>
      </c>
      <c r="E89" s="8" t="str">
        <f>IF($A89="","",SUMIFS('Raw Data'!$J:$J,'Raw Data'!$A:$A,$A89,'Raw Data'!$E:$E,D$3))</f>
        <v/>
      </c>
      <c r="F89" s="7" t="str">
        <f>IF($A89="","",SUMIFS('Raw Data'!$F:$F,'Raw Data'!$A:$A,$A89,'Raw Data'!$E:$E,F$3))</f>
        <v/>
      </c>
      <c r="G89" s="8" t="str">
        <f>IF($A89="","",SUMIFS('Raw Data'!$J:$J,'Raw Data'!$A:$A,$A89,'Raw Data'!$E:$E,F$3))</f>
        <v/>
      </c>
      <c r="H89" s="7" t="str">
        <f>IF($A89="","",SUMIFS('Raw Data'!$F:$F,'Raw Data'!$A:$A,$A89,'Raw Data'!$E:$E,H$3))</f>
        <v/>
      </c>
      <c r="I89" s="8" t="str">
        <f>IF($A89="","",SUMIFS('Raw Data'!$J:$J,'Raw Data'!$A:$A,$A89,'Raw Data'!$E:$E,H$3))</f>
        <v/>
      </c>
      <c r="J89" s="9" t="str">
        <f t="shared" si="6"/>
        <v/>
      </c>
      <c r="K89" s="10" t="str">
        <f t="shared" si="7"/>
        <v/>
      </c>
      <c r="L89" s="5" t="str">
        <f t="shared" si="8"/>
        <v/>
      </c>
    </row>
    <row r="90" spans="1:12" x14ac:dyDescent="0.3">
      <c r="A90" s="6" t="str">
        <f>IFERROR(INDEX('Raw Data'!$A$2:$A$200,_xlfn.AGGREGATE(15,6,(ROW('Raw Data'!$A$2:$A$200)-ROW('Raw Data'!$A$2)+1)/((COUNTIF($A$4:A89,'Raw Data'!$A$2:$A$200)=0)*('Raw Data'!$A$2:$A$200&lt;&gt;"")),1)),"")</f>
        <v/>
      </c>
      <c r="B90" s="7" t="str">
        <f>IF($A90="","",SUMIFS('Raw Data'!$F:$F,'Raw Data'!$A:$A,$A90,'Raw Data'!$E:$E,B$3))</f>
        <v/>
      </c>
      <c r="C90" s="8" t="str">
        <f>IF($A90="","",SUMIFS('Raw Data'!$J:$J,'Raw Data'!$A:$A,$A90,'Raw Data'!$E:$E,B$3))</f>
        <v/>
      </c>
      <c r="D90" s="7" t="str">
        <f>IF($A90="","",SUMIFS('Raw Data'!$F:$F,'Raw Data'!$A:$A,$A90,'Raw Data'!$E:$E,D$3))</f>
        <v/>
      </c>
      <c r="E90" s="8" t="str">
        <f>IF($A90="","",SUMIFS('Raw Data'!$J:$J,'Raw Data'!$A:$A,$A90,'Raw Data'!$E:$E,D$3))</f>
        <v/>
      </c>
      <c r="F90" s="7" t="str">
        <f>IF($A90="","",SUMIFS('Raw Data'!$F:$F,'Raw Data'!$A:$A,$A90,'Raw Data'!$E:$E,F$3))</f>
        <v/>
      </c>
      <c r="G90" s="8" t="str">
        <f>IF($A90="","",SUMIFS('Raw Data'!$J:$J,'Raw Data'!$A:$A,$A90,'Raw Data'!$E:$E,F$3))</f>
        <v/>
      </c>
      <c r="H90" s="7" t="str">
        <f>IF($A90="","",SUMIFS('Raw Data'!$F:$F,'Raw Data'!$A:$A,$A90,'Raw Data'!$E:$E,H$3))</f>
        <v/>
      </c>
      <c r="I90" s="8" t="str">
        <f>IF($A90="","",SUMIFS('Raw Data'!$J:$J,'Raw Data'!$A:$A,$A90,'Raw Data'!$E:$E,H$3))</f>
        <v/>
      </c>
      <c r="J90" s="9" t="str">
        <f t="shared" si="6"/>
        <v/>
      </c>
      <c r="K90" s="10" t="str">
        <f t="shared" si="7"/>
        <v/>
      </c>
      <c r="L90" s="5" t="str">
        <f t="shared" si="8"/>
        <v/>
      </c>
    </row>
    <row r="91" spans="1:12" x14ac:dyDescent="0.3">
      <c r="A91" s="6" t="str">
        <f>IFERROR(INDEX('Raw Data'!$A$2:$A$200,_xlfn.AGGREGATE(15,6,(ROW('Raw Data'!$A$2:$A$200)-ROW('Raw Data'!$A$2)+1)/((COUNTIF($A$4:A90,'Raw Data'!$A$2:$A$200)=0)*('Raw Data'!$A$2:$A$200&lt;&gt;"")),1)),"")</f>
        <v/>
      </c>
      <c r="B91" s="7" t="str">
        <f>IF($A91="","",SUMIFS('Raw Data'!$F:$F,'Raw Data'!$A:$A,$A91,'Raw Data'!$E:$E,B$3))</f>
        <v/>
      </c>
      <c r="C91" s="8" t="str">
        <f>IF($A91="","",SUMIFS('Raw Data'!$J:$J,'Raw Data'!$A:$A,$A91,'Raw Data'!$E:$E,B$3))</f>
        <v/>
      </c>
      <c r="D91" s="7" t="str">
        <f>IF($A91="","",SUMIFS('Raw Data'!$F:$F,'Raw Data'!$A:$A,$A91,'Raw Data'!$E:$E,D$3))</f>
        <v/>
      </c>
      <c r="E91" s="8" t="str">
        <f>IF($A91="","",SUMIFS('Raw Data'!$J:$J,'Raw Data'!$A:$A,$A91,'Raw Data'!$E:$E,D$3))</f>
        <v/>
      </c>
      <c r="F91" s="7" t="str">
        <f>IF($A91="","",SUMIFS('Raw Data'!$F:$F,'Raw Data'!$A:$A,$A91,'Raw Data'!$E:$E,F$3))</f>
        <v/>
      </c>
      <c r="G91" s="8" t="str">
        <f>IF($A91="","",SUMIFS('Raw Data'!$J:$J,'Raw Data'!$A:$A,$A91,'Raw Data'!$E:$E,F$3))</f>
        <v/>
      </c>
      <c r="H91" s="7" t="str">
        <f>IF($A91="","",SUMIFS('Raw Data'!$F:$F,'Raw Data'!$A:$A,$A91,'Raw Data'!$E:$E,H$3))</f>
        <v/>
      </c>
      <c r="I91" s="8" t="str">
        <f>IF($A91="","",SUMIFS('Raw Data'!$J:$J,'Raw Data'!$A:$A,$A91,'Raw Data'!$E:$E,H$3))</f>
        <v/>
      </c>
      <c r="J91" s="9" t="str">
        <f t="shared" si="6"/>
        <v/>
      </c>
      <c r="K91" s="10" t="str">
        <f t="shared" si="7"/>
        <v/>
      </c>
      <c r="L91" s="5" t="str">
        <f t="shared" si="8"/>
        <v/>
      </c>
    </row>
    <row r="92" spans="1:12" x14ac:dyDescent="0.3">
      <c r="A92" s="6" t="str">
        <f>IFERROR(INDEX('Raw Data'!$A$2:$A$200,_xlfn.AGGREGATE(15,6,(ROW('Raw Data'!$A$2:$A$200)-ROW('Raw Data'!$A$2)+1)/((COUNTIF($A$4:A91,'Raw Data'!$A$2:$A$200)=0)*('Raw Data'!$A$2:$A$200&lt;&gt;"")),1)),"")</f>
        <v/>
      </c>
      <c r="B92" s="7" t="str">
        <f>IF($A92="","",SUMIFS('Raw Data'!$F:$F,'Raw Data'!$A:$A,$A92,'Raw Data'!$E:$E,B$3))</f>
        <v/>
      </c>
      <c r="C92" s="8" t="str">
        <f>IF($A92="","",SUMIFS('Raw Data'!$J:$J,'Raw Data'!$A:$A,$A92,'Raw Data'!$E:$E,B$3))</f>
        <v/>
      </c>
      <c r="D92" s="7" t="str">
        <f>IF($A92="","",SUMIFS('Raw Data'!$F:$F,'Raw Data'!$A:$A,$A92,'Raw Data'!$E:$E,D$3))</f>
        <v/>
      </c>
      <c r="E92" s="8" t="str">
        <f>IF($A92="","",SUMIFS('Raw Data'!$J:$J,'Raw Data'!$A:$A,$A92,'Raw Data'!$E:$E,D$3))</f>
        <v/>
      </c>
      <c r="F92" s="7" t="str">
        <f>IF($A92="","",SUMIFS('Raw Data'!$F:$F,'Raw Data'!$A:$A,$A92,'Raw Data'!$E:$E,F$3))</f>
        <v/>
      </c>
      <c r="G92" s="8" t="str">
        <f>IF($A92="","",SUMIFS('Raw Data'!$J:$J,'Raw Data'!$A:$A,$A92,'Raw Data'!$E:$E,F$3))</f>
        <v/>
      </c>
      <c r="H92" s="7" t="str">
        <f>IF($A92="","",SUMIFS('Raw Data'!$F:$F,'Raw Data'!$A:$A,$A92,'Raw Data'!$E:$E,H$3))</f>
        <v/>
      </c>
      <c r="I92" s="8" t="str">
        <f>IF($A92="","",SUMIFS('Raw Data'!$J:$J,'Raw Data'!$A:$A,$A92,'Raw Data'!$E:$E,H$3))</f>
        <v/>
      </c>
      <c r="J92" s="9" t="str">
        <f t="shared" si="6"/>
        <v/>
      </c>
      <c r="K92" s="10" t="str">
        <f t="shared" si="7"/>
        <v/>
      </c>
      <c r="L92" s="5" t="str">
        <f t="shared" si="8"/>
        <v/>
      </c>
    </row>
    <row r="93" spans="1:12" x14ac:dyDescent="0.3">
      <c r="A93" s="6" t="str">
        <f>IFERROR(INDEX('Raw Data'!$A$2:$A$200,_xlfn.AGGREGATE(15,6,(ROW('Raw Data'!$A$2:$A$200)-ROW('Raw Data'!$A$2)+1)/((COUNTIF($A$4:A92,'Raw Data'!$A$2:$A$200)=0)*('Raw Data'!$A$2:$A$200&lt;&gt;"")),1)),"")</f>
        <v/>
      </c>
      <c r="B93" s="7" t="str">
        <f>IF($A93="","",SUMIFS('Raw Data'!$F:$F,'Raw Data'!$A:$A,$A93,'Raw Data'!$E:$E,B$3))</f>
        <v/>
      </c>
      <c r="C93" s="8" t="str">
        <f>IF($A93="","",SUMIFS('Raw Data'!$J:$J,'Raw Data'!$A:$A,$A93,'Raw Data'!$E:$E,B$3))</f>
        <v/>
      </c>
      <c r="D93" s="7" t="str">
        <f>IF($A93="","",SUMIFS('Raw Data'!$F:$F,'Raw Data'!$A:$A,$A93,'Raw Data'!$E:$E,D$3))</f>
        <v/>
      </c>
      <c r="E93" s="8" t="str">
        <f>IF($A93="","",SUMIFS('Raw Data'!$J:$J,'Raw Data'!$A:$A,$A93,'Raw Data'!$E:$E,D$3))</f>
        <v/>
      </c>
      <c r="F93" s="7" t="str">
        <f>IF($A93="","",SUMIFS('Raw Data'!$F:$F,'Raw Data'!$A:$A,$A93,'Raw Data'!$E:$E,F$3))</f>
        <v/>
      </c>
      <c r="G93" s="8" t="str">
        <f>IF($A93="","",SUMIFS('Raw Data'!$J:$J,'Raw Data'!$A:$A,$A93,'Raw Data'!$E:$E,F$3))</f>
        <v/>
      </c>
      <c r="H93" s="7" t="str">
        <f>IF($A93="","",SUMIFS('Raw Data'!$F:$F,'Raw Data'!$A:$A,$A93,'Raw Data'!$E:$E,H$3))</f>
        <v/>
      </c>
      <c r="I93" s="8" t="str">
        <f>IF($A93="","",SUMIFS('Raw Data'!$J:$J,'Raw Data'!$A:$A,$A93,'Raw Data'!$E:$E,H$3))</f>
        <v/>
      </c>
      <c r="J93" s="9" t="str">
        <f t="shared" si="6"/>
        <v/>
      </c>
      <c r="K93" s="10" t="str">
        <f t="shared" si="7"/>
        <v/>
      </c>
      <c r="L93" s="5" t="str">
        <f t="shared" si="8"/>
        <v/>
      </c>
    </row>
    <row r="94" spans="1:12" x14ac:dyDescent="0.3">
      <c r="A94" s="6" t="str">
        <f>IFERROR(INDEX('Raw Data'!$A$2:$A$200,_xlfn.AGGREGATE(15,6,(ROW('Raw Data'!$A$2:$A$200)-ROW('Raw Data'!$A$2)+1)/((COUNTIF($A$4:A93,'Raw Data'!$A$2:$A$200)=0)*('Raw Data'!$A$2:$A$200&lt;&gt;"")),1)),"")</f>
        <v/>
      </c>
      <c r="B94" s="7" t="str">
        <f>IF($A94="","",SUMIFS('Raw Data'!$F:$F,'Raw Data'!$A:$A,$A94,'Raw Data'!$E:$E,B$3))</f>
        <v/>
      </c>
      <c r="C94" s="8" t="str">
        <f>IF($A94="","",SUMIFS('Raw Data'!$J:$J,'Raw Data'!$A:$A,$A94,'Raw Data'!$E:$E,B$3))</f>
        <v/>
      </c>
      <c r="D94" s="7" t="str">
        <f>IF($A94="","",SUMIFS('Raw Data'!$F:$F,'Raw Data'!$A:$A,$A94,'Raw Data'!$E:$E,D$3))</f>
        <v/>
      </c>
      <c r="E94" s="8" t="str">
        <f>IF($A94="","",SUMIFS('Raw Data'!$J:$J,'Raw Data'!$A:$A,$A94,'Raw Data'!$E:$E,D$3))</f>
        <v/>
      </c>
      <c r="F94" s="7" t="str">
        <f>IF($A94="","",SUMIFS('Raw Data'!$F:$F,'Raw Data'!$A:$A,$A94,'Raw Data'!$E:$E,F$3))</f>
        <v/>
      </c>
      <c r="G94" s="8" t="str">
        <f>IF($A94="","",SUMIFS('Raw Data'!$J:$J,'Raw Data'!$A:$A,$A94,'Raw Data'!$E:$E,F$3))</f>
        <v/>
      </c>
      <c r="H94" s="7" t="str">
        <f>IF($A94="","",SUMIFS('Raw Data'!$F:$F,'Raw Data'!$A:$A,$A94,'Raw Data'!$E:$E,H$3))</f>
        <v/>
      </c>
      <c r="I94" s="8" t="str">
        <f>IF($A94="","",SUMIFS('Raw Data'!$J:$J,'Raw Data'!$A:$A,$A94,'Raw Data'!$E:$E,H$3))</f>
        <v/>
      </c>
      <c r="J94" s="9" t="str">
        <f t="shared" si="6"/>
        <v/>
      </c>
      <c r="K94" s="10" t="str">
        <f t="shared" si="7"/>
        <v/>
      </c>
      <c r="L94" s="5" t="str">
        <f t="shared" si="8"/>
        <v/>
      </c>
    </row>
    <row r="95" spans="1:12" x14ac:dyDescent="0.3">
      <c r="A95" s="6" t="str">
        <f>IFERROR(INDEX('Raw Data'!$A$2:$A$200,_xlfn.AGGREGATE(15,6,(ROW('Raw Data'!$A$2:$A$200)-ROW('Raw Data'!$A$2)+1)/((COUNTIF($A$4:A94,'Raw Data'!$A$2:$A$200)=0)*('Raw Data'!$A$2:$A$200&lt;&gt;"")),1)),"")</f>
        <v/>
      </c>
      <c r="B95" s="7" t="str">
        <f>IF($A95="","",SUMIFS('Raw Data'!$F:$F,'Raw Data'!$A:$A,$A95,'Raw Data'!$E:$E,B$3))</f>
        <v/>
      </c>
      <c r="C95" s="8" t="str">
        <f>IF($A95="","",SUMIFS('Raw Data'!$J:$J,'Raw Data'!$A:$A,$A95,'Raw Data'!$E:$E,B$3))</f>
        <v/>
      </c>
      <c r="D95" s="7" t="str">
        <f>IF($A95="","",SUMIFS('Raw Data'!$F:$F,'Raw Data'!$A:$A,$A95,'Raw Data'!$E:$E,D$3))</f>
        <v/>
      </c>
      <c r="E95" s="8" t="str">
        <f>IF($A95="","",SUMIFS('Raw Data'!$J:$J,'Raw Data'!$A:$A,$A95,'Raw Data'!$E:$E,D$3))</f>
        <v/>
      </c>
      <c r="F95" s="7" t="str">
        <f>IF($A95="","",SUMIFS('Raw Data'!$F:$F,'Raw Data'!$A:$A,$A95,'Raw Data'!$E:$E,F$3))</f>
        <v/>
      </c>
      <c r="G95" s="8" t="str">
        <f>IF($A95="","",SUMIFS('Raw Data'!$J:$J,'Raw Data'!$A:$A,$A95,'Raw Data'!$E:$E,F$3))</f>
        <v/>
      </c>
      <c r="H95" s="7" t="str">
        <f>IF($A95="","",SUMIFS('Raw Data'!$F:$F,'Raw Data'!$A:$A,$A95,'Raw Data'!$E:$E,H$3))</f>
        <v/>
      </c>
      <c r="I95" s="8" t="str">
        <f>IF($A95="","",SUMIFS('Raw Data'!$J:$J,'Raw Data'!$A:$A,$A95,'Raw Data'!$E:$E,H$3))</f>
        <v/>
      </c>
      <c r="J95" s="9" t="str">
        <f t="shared" si="6"/>
        <v/>
      </c>
      <c r="K95" s="10" t="str">
        <f t="shared" si="7"/>
        <v/>
      </c>
      <c r="L95" s="5" t="str">
        <f t="shared" si="8"/>
        <v/>
      </c>
    </row>
    <row r="96" spans="1:12" x14ac:dyDescent="0.3">
      <c r="A96" s="6" t="str">
        <f>IFERROR(INDEX('Raw Data'!$A$2:$A$200,_xlfn.AGGREGATE(15,6,(ROW('Raw Data'!$A$2:$A$200)-ROW('Raw Data'!$A$2)+1)/((COUNTIF($A$4:A95,'Raw Data'!$A$2:$A$200)=0)*('Raw Data'!$A$2:$A$200&lt;&gt;"")),1)),"")</f>
        <v/>
      </c>
      <c r="B96" s="7" t="str">
        <f>IF($A96="","",SUMIFS('Raw Data'!$F:$F,'Raw Data'!$A:$A,$A96,'Raw Data'!$E:$E,B$3))</f>
        <v/>
      </c>
      <c r="C96" s="8" t="str">
        <f>IF($A96="","",SUMIFS('Raw Data'!$J:$J,'Raw Data'!$A:$A,$A96,'Raw Data'!$E:$E,B$3))</f>
        <v/>
      </c>
      <c r="D96" s="7" t="str">
        <f>IF($A96="","",SUMIFS('Raw Data'!$F:$F,'Raw Data'!$A:$A,$A96,'Raw Data'!$E:$E,D$3))</f>
        <v/>
      </c>
      <c r="E96" s="8" t="str">
        <f>IF($A96="","",SUMIFS('Raw Data'!$J:$J,'Raw Data'!$A:$A,$A96,'Raw Data'!$E:$E,D$3))</f>
        <v/>
      </c>
      <c r="F96" s="7" t="str">
        <f>IF($A96="","",SUMIFS('Raw Data'!$F:$F,'Raw Data'!$A:$A,$A96,'Raw Data'!$E:$E,F$3))</f>
        <v/>
      </c>
      <c r="G96" s="8" t="str">
        <f>IF($A96="","",SUMIFS('Raw Data'!$J:$J,'Raw Data'!$A:$A,$A96,'Raw Data'!$E:$E,F$3))</f>
        <v/>
      </c>
      <c r="H96" s="7" t="str">
        <f>IF($A96="","",SUMIFS('Raw Data'!$F:$F,'Raw Data'!$A:$A,$A96,'Raw Data'!$E:$E,H$3))</f>
        <v/>
      </c>
      <c r="I96" s="8" t="str">
        <f>IF($A96="","",SUMIFS('Raw Data'!$J:$J,'Raw Data'!$A:$A,$A96,'Raw Data'!$E:$E,H$3))</f>
        <v/>
      </c>
      <c r="J96" s="9" t="str">
        <f t="shared" si="6"/>
        <v/>
      </c>
      <c r="K96" s="10" t="str">
        <f t="shared" si="7"/>
        <v/>
      </c>
      <c r="L96" s="5" t="str">
        <f t="shared" si="8"/>
        <v/>
      </c>
    </row>
    <row r="97" spans="1:12" x14ac:dyDescent="0.3">
      <c r="A97" s="6" t="str">
        <f>IFERROR(INDEX('Raw Data'!$A$2:$A$200,_xlfn.AGGREGATE(15,6,(ROW('Raw Data'!$A$2:$A$200)-ROW('Raw Data'!$A$2)+1)/((COUNTIF($A$4:A96,'Raw Data'!$A$2:$A$200)=0)*('Raw Data'!$A$2:$A$200&lt;&gt;"")),1)),"")</f>
        <v/>
      </c>
      <c r="B97" s="7" t="str">
        <f>IF($A97="","",SUMIFS('Raw Data'!$F:$F,'Raw Data'!$A:$A,$A97,'Raw Data'!$E:$E,B$3))</f>
        <v/>
      </c>
      <c r="C97" s="8" t="str">
        <f>IF($A97="","",SUMIFS('Raw Data'!$J:$J,'Raw Data'!$A:$A,$A97,'Raw Data'!$E:$E,B$3))</f>
        <v/>
      </c>
      <c r="D97" s="7" t="str">
        <f>IF($A97="","",SUMIFS('Raw Data'!$F:$F,'Raw Data'!$A:$A,$A97,'Raw Data'!$E:$E,D$3))</f>
        <v/>
      </c>
      <c r="E97" s="8" t="str">
        <f>IF($A97="","",SUMIFS('Raw Data'!$J:$J,'Raw Data'!$A:$A,$A97,'Raw Data'!$E:$E,D$3))</f>
        <v/>
      </c>
      <c r="F97" s="7" t="str">
        <f>IF($A97="","",SUMIFS('Raw Data'!$F:$F,'Raw Data'!$A:$A,$A97,'Raw Data'!$E:$E,F$3))</f>
        <v/>
      </c>
      <c r="G97" s="8" t="str">
        <f>IF($A97="","",SUMIFS('Raw Data'!$J:$J,'Raw Data'!$A:$A,$A97,'Raw Data'!$E:$E,F$3))</f>
        <v/>
      </c>
      <c r="H97" s="7" t="str">
        <f>IF($A97="","",SUMIFS('Raw Data'!$F:$F,'Raw Data'!$A:$A,$A97,'Raw Data'!$E:$E,H$3))</f>
        <v/>
      </c>
      <c r="I97" s="8" t="str">
        <f>IF($A97="","",SUMIFS('Raw Data'!$J:$J,'Raw Data'!$A:$A,$A97,'Raw Data'!$E:$E,H$3))</f>
        <v/>
      </c>
      <c r="J97" s="9" t="str">
        <f t="shared" si="6"/>
        <v/>
      </c>
      <c r="K97" s="10" t="str">
        <f t="shared" si="7"/>
        <v/>
      </c>
      <c r="L97" s="5" t="str">
        <f t="shared" si="8"/>
        <v/>
      </c>
    </row>
    <row r="98" spans="1:12" x14ac:dyDescent="0.3">
      <c r="A98" s="6" t="str">
        <f>IFERROR(INDEX('Raw Data'!$A$2:$A$200,_xlfn.AGGREGATE(15,6,(ROW('Raw Data'!$A$2:$A$200)-ROW('Raw Data'!$A$2)+1)/((COUNTIF($A$4:A97,'Raw Data'!$A$2:$A$200)=0)*('Raw Data'!$A$2:$A$200&lt;&gt;"")),1)),"")</f>
        <v/>
      </c>
      <c r="B98" s="7" t="str">
        <f>IF($A98="","",SUMIFS('Raw Data'!$F:$F,'Raw Data'!$A:$A,$A98,'Raw Data'!$E:$E,B$3))</f>
        <v/>
      </c>
      <c r="C98" s="8" t="str">
        <f>IF($A98="","",SUMIFS('Raw Data'!$J:$J,'Raw Data'!$A:$A,$A98,'Raw Data'!$E:$E,B$3))</f>
        <v/>
      </c>
      <c r="D98" s="7" t="str">
        <f>IF($A98="","",SUMIFS('Raw Data'!$F:$F,'Raw Data'!$A:$A,$A98,'Raw Data'!$E:$E,D$3))</f>
        <v/>
      </c>
      <c r="E98" s="8" t="str">
        <f>IF($A98="","",SUMIFS('Raw Data'!$J:$J,'Raw Data'!$A:$A,$A98,'Raw Data'!$E:$E,D$3))</f>
        <v/>
      </c>
      <c r="F98" s="7" t="str">
        <f>IF($A98="","",SUMIFS('Raw Data'!$F:$F,'Raw Data'!$A:$A,$A98,'Raw Data'!$E:$E,F$3))</f>
        <v/>
      </c>
      <c r="G98" s="8" t="str">
        <f>IF($A98="","",SUMIFS('Raw Data'!$J:$J,'Raw Data'!$A:$A,$A98,'Raw Data'!$E:$E,F$3))</f>
        <v/>
      </c>
      <c r="H98" s="7" t="str">
        <f>IF($A98="","",SUMIFS('Raw Data'!$F:$F,'Raw Data'!$A:$A,$A98,'Raw Data'!$E:$E,H$3))</f>
        <v/>
      </c>
      <c r="I98" s="8" t="str">
        <f>IF($A98="","",SUMIFS('Raw Data'!$J:$J,'Raw Data'!$A:$A,$A98,'Raw Data'!$E:$E,H$3))</f>
        <v/>
      </c>
      <c r="J98" s="9" t="str">
        <f t="shared" si="6"/>
        <v/>
      </c>
      <c r="K98" s="10" t="str">
        <f t="shared" si="7"/>
        <v/>
      </c>
      <c r="L98" s="5" t="str">
        <f t="shared" si="8"/>
        <v/>
      </c>
    </row>
    <row r="99" spans="1:12" x14ac:dyDescent="0.3">
      <c r="A99" s="6" t="str">
        <f>IFERROR(INDEX('Raw Data'!$A$2:$A$200,_xlfn.AGGREGATE(15,6,(ROW('Raw Data'!$A$2:$A$200)-ROW('Raw Data'!$A$2)+1)/((COUNTIF($A$4:A98,'Raw Data'!$A$2:$A$200)=0)*('Raw Data'!$A$2:$A$200&lt;&gt;"")),1)),"")</f>
        <v/>
      </c>
      <c r="B99" s="7" t="str">
        <f>IF($A99="","",SUMIFS('Raw Data'!$F:$F,'Raw Data'!$A:$A,$A99,'Raw Data'!$E:$E,B$3))</f>
        <v/>
      </c>
      <c r="C99" s="8" t="str">
        <f>IF($A99="","",SUMIFS('Raw Data'!$J:$J,'Raw Data'!$A:$A,$A99,'Raw Data'!$E:$E,B$3))</f>
        <v/>
      </c>
      <c r="D99" s="7" t="str">
        <f>IF($A99="","",SUMIFS('Raw Data'!$F:$F,'Raw Data'!$A:$A,$A99,'Raw Data'!$E:$E,D$3))</f>
        <v/>
      </c>
      <c r="E99" s="8" t="str">
        <f>IF($A99="","",SUMIFS('Raw Data'!$J:$J,'Raw Data'!$A:$A,$A99,'Raw Data'!$E:$E,D$3))</f>
        <v/>
      </c>
      <c r="F99" s="7" t="str">
        <f>IF($A99="","",SUMIFS('Raw Data'!$F:$F,'Raw Data'!$A:$A,$A99,'Raw Data'!$E:$E,F$3))</f>
        <v/>
      </c>
      <c r="G99" s="8" t="str">
        <f>IF($A99="","",SUMIFS('Raw Data'!$J:$J,'Raw Data'!$A:$A,$A99,'Raw Data'!$E:$E,F$3))</f>
        <v/>
      </c>
      <c r="H99" s="7" t="str">
        <f>IF($A99="","",SUMIFS('Raw Data'!$F:$F,'Raw Data'!$A:$A,$A99,'Raw Data'!$E:$E,H$3))</f>
        <v/>
      </c>
      <c r="I99" s="8" t="str">
        <f>IF($A99="","",SUMIFS('Raw Data'!$J:$J,'Raw Data'!$A:$A,$A99,'Raw Data'!$E:$E,H$3))</f>
        <v/>
      </c>
      <c r="J99" s="9" t="str">
        <f t="shared" si="6"/>
        <v/>
      </c>
      <c r="K99" s="10" t="str">
        <f t="shared" si="7"/>
        <v/>
      </c>
      <c r="L99" s="5" t="str">
        <f t="shared" si="8"/>
        <v/>
      </c>
    </row>
    <row r="100" spans="1:12" x14ac:dyDescent="0.3">
      <c r="A100" s="6" t="str">
        <f>IFERROR(INDEX('Raw Data'!$A$2:$A$200,_xlfn.AGGREGATE(15,6,(ROW('Raw Data'!$A$2:$A$200)-ROW('Raw Data'!$A$2)+1)/((COUNTIF($A$4:A99,'Raw Data'!$A$2:$A$200)=0)*('Raw Data'!$A$2:$A$200&lt;&gt;"")),1)),"")</f>
        <v/>
      </c>
      <c r="B100" s="7" t="str">
        <f>IF($A100="","",SUMIFS('Raw Data'!$F:$F,'Raw Data'!$A:$A,$A100,'Raw Data'!$E:$E,B$3))</f>
        <v/>
      </c>
      <c r="C100" s="8" t="str">
        <f>IF($A100="","",SUMIFS('Raw Data'!$J:$J,'Raw Data'!$A:$A,$A100,'Raw Data'!$E:$E,B$3))</f>
        <v/>
      </c>
      <c r="D100" s="7" t="str">
        <f>IF($A100="","",SUMIFS('Raw Data'!$F:$F,'Raw Data'!$A:$A,$A100,'Raw Data'!$E:$E,D$3))</f>
        <v/>
      </c>
      <c r="E100" s="8" t="str">
        <f>IF($A100="","",SUMIFS('Raw Data'!$J:$J,'Raw Data'!$A:$A,$A100,'Raw Data'!$E:$E,D$3))</f>
        <v/>
      </c>
      <c r="F100" s="7" t="str">
        <f>IF($A100="","",SUMIFS('Raw Data'!$F:$F,'Raw Data'!$A:$A,$A100,'Raw Data'!$E:$E,F$3))</f>
        <v/>
      </c>
      <c r="G100" s="8" t="str">
        <f>IF($A100="","",SUMIFS('Raw Data'!$J:$J,'Raw Data'!$A:$A,$A100,'Raw Data'!$E:$E,F$3))</f>
        <v/>
      </c>
      <c r="H100" s="7" t="str">
        <f>IF($A100="","",SUMIFS('Raw Data'!$F:$F,'Raw Data'!$A:$A,$A100,'Raw Data'!$E:$E,H$3))</f>
        <v/>
      </c>
      <c r="I100" s="8" t="str">
        <f>IF($A100="","",SUMIFS('Raw Data'!$J:$J,'Raw Data'!$A:$A,$A100,'Raw Data'!$E:$E,H$3))</f>
        <v/>
      </c>
      <c r="J100" s="9" t="str">
        <f t="shared" si="6"/>
        <v/>
      </c>
      <c r="K100" s="10" t="str">
        <f t="shared" si="7"/>
        <v/>
      </c>
      <c r="L100" s="5" t="str">
        <f t="shared" si="8"/>
        <v/>
      </c>
    </row>
    <row r="101" spans="1:12" x14ac:dyDescent="0.3">
      <c r="A101" s="6" t="str">
        <f>IFERROR(INDEX('Raw Data'!$A$2:$A$200,_xlfn.AGGREGATE(15,6,(ROW('Raw Data'!$A$2:$A$200)-ROW('Raw Data'!$A$2)+1)/((COUNTIF($A$4:A100,'Raw Data'!$A$2:$A$200)=0)*('Raw Data'!$A$2:$A$200&lt;&gt;"")),1)),"")</f>
        <v/>
      </c>
      <c r="B101" s="7" t="str">
        <f>IF($A101="","",SUMIFS('Raw Data'!$F:$F,'Raw Data'!$A:$A,$A101,'Raw Data'!$E:$E,B$3))</f>
        <v/>
      </c>
      <c r="C101" s="8" t="str">
        <f>IF($A101="","",SUMIFS('Raw Data'!$J:$J,'Raw Data'!$A:$A,$A101,'Raw Data'!$E:$E,B$3))</f>
        <v/>
      </c>
      <c r="D101" s="7" t="str">
        <f>IF($A101="","",SUMIFS('Raw Data'!$F:$F,'Raw Data'!$A:$A,$A101,'Raw Data'!$E:$E,D$3))</f>
        <v/>
      </c>
      <c r="E101" s="8" t="str">
        <f>IF($A101="","",SUMIFS('Raw Data'!$J:$J,'Raw Data'!$A:$A,$A101,'Raw Data'!$E:$E,D$3))</f>
        <v/>
      </c>
      <c r="F101" s="7" t="str">
        <f>IF($A101="","",SUMIFS('Raw Data'!$F:$F,'Raw Data'!$A:$A,$A101,'Raw Data'!$E:$E,F$3))</f>
        <v/>
      </c>
      <c r="G101" s="8" t="str">
        <f>IF($A101="","",SUMIFS('Raw Data'!$J:$J,'Raw Data'!$A:$A,$A101,'Raw Data'!$E:$E,F$3))</f>
        <v/>
      </c>
      <c r="H101" s="7" t="str">
        <f>IF($A101="","",SUMIFS('Raw Data'!$F:$F,'Raw Data'!$A:$A,$A101,'Raw Data'!$E:$E,H$3))</f>
        <v/>
      </c>
      <c r="I101" s="8" t="str">
        <f>IF($A101="","",SUMIFS('Raw Data'!$J:$J,'Raw Data'!$A:$A,$A101,'Raw Data'!$E:$E,H$3))</f>
        <v/>
      </c>
      <c r="J101" s="9" t="str">
        <f t="shared" ref="J101:J132" si="9">IF($A101="","",B101+D101+F101+H101)</f>
        <v/>
      </c>
      <c r="K101" s="10" t="str">
        <f t="shared" ref="K101:K132" si="10">IF($A101="","",C101+E101+G101+I101)</f>
        <v/>
      </c>
      <c r="L101" s="5" t="str">
        <f t="shared" ref="L101:L132" si="11">IF($A101="","",J101+K101)</f>
        <v/>
      </c>
    </row>
    <row r="102" spans="1:12" x14ac:dyDescent="0.3">
      <c r="A102" s="6" t="str">
        <f>IFERROR(INDEX('Raw Data'!$A$2:$A$200,_xlfn.AGGREGATE(15,6,(ROW('Raw Data'!$A$2:$A$200)-ROW('Raw Data'!$A$2)+1)/((COUNTIF($A$4:A101,'Raw Data'!$A$2:$A$200)=0)*('Raw Data'!$A$2:$A$200&lt;&gt;"")),1)),"")</f>
        <v/>
      </c>
      <c r="B102" s="7" t="str">
        <f>IF($A102="","",SUMIFS('Raw Data'!$F:$F,'Raw Data'!$A:$A,$A102,'Raw Data'!$E:$E,B$3))</f>
        <v/>
      </c>
      <c r="C102" s="8" t="str">
        <f>IF($A102="","",SUMIFS('Raw Data'!$J:$J,'Raw Data'!$A:$A,$A102,'Raw Data'!$E:$E,B$3))</f>
        <v/>
      </c>
      <c r="D102" s="7" t="str">
        <f>IF($A102="","",SUMIFS('Raw Data'!$F:$F,'Raw Data'!$A:$A,$A102,'Raw Data'!$E:$E,D$3))</f>
        <v/>
      </c>
      <c r="E102" s="8" t="str">
        <f>IF($A102="","",SUMIFS('Raw Data'!$J:$J,'Raw Data'!$A:$A,$A102,'Raw Data'!$E:$E,D$3))</f>
        <v/>
      </c>
      <c r="F102" s="7" t="str">
        <f>IF($A102="","",SUMIFS('Raw Data'!$F:$F,'Raw Data'!$A:$A,$A102,'Raw Data'!$E:$E,F$3))</f>
        <v/>
      </c>
      <c r="G102" s="8" t="str">
        <f>IF($A102="","",SUMIFS('Raw Data'!$J:$J,'Raw Data'!$A:$A,$A102,'Raw Data'!$E:$E,F$3))</f>
        <v/>
      </c>
      <c r="H102" s="7" t="str">
        <f>IF($A102="","",SUMIFS('Raw Data'!$F:$F,'Raw Data'!$A:$A,$A102,'Raw Data'!$E:$E,H$3))</f>
        <v/>
      </c>
      <c r="I102" s="8" t="str">
        <f>IF($A102="","",SUMIFS('Raw Data'!$J:$J,'Raw Data'!$A:$A,$A102,'Raw Data'!$E:$E,H$3))</f>
        <v/>
      </c>
      <c r="J102" s="9" t="str">
        <f t="shared" si="9"/>
        <v/>
      </c>
      <c r="K102" s="10" t="str">
        <f t="shared" si="10"/>
        <v/>
      </c>
      <c r="L102" s="5" t="str">
        <f t="shared" si="11"/>
        <v/>
      </c>
    </row>
    <row r="103" spans="1:12" x14ac:dyDescent="0.3">
      <c r="A103" s="6" t="str">
        <f>IFERROR(INDEX('Raw Data'!$A$2:$A$200,_xlfn.AGGREGATE(15,6,(ROW('Raw Data'!$A$2:$A$200)-ROW('Raw Data'!$A$2)+1)/((COUNTIF($A$4:A102,'Raw Data'!$A$2:$A$200)=0)*('Raw Data'!$A$2:$A$200&lt;&gt;"")),1)),"")</f>
        <v/>
      </c>
      <c r="B103" s="7" t="str">
        <f>IF($A103="","",SUMIFS('Raw Data'!$F:$F,'Raw Data'!$A:$A,$A103,'Raw Data'!$E:$E,B$3))</f>
        <v/>
      </c>
      <c r="C103" s="8" t="str">
        <f>IF($A103="","",SUMIFS('Raw Data'!$J:$J,'Raw Data'!$A:$A,$A103,'Raw Data'!$E:$E,B$3))</f>
        <v/>
      </c>
      <c r="D103" s="7" t="str">
        <f>IF($A103="","",SUMIFS('Raw Data'!$F:$F,'Raw Data'!$A:$A,$A103,'Raw Data'!$E:$E,D$3))</f>
        <v/>
      </c>
      <c r="E103" s="8" t="str">
        <f>IF($A103="","",SUMIFS('Raw Data'!$J:$J,'Raw Data'!$A:$A,$A103,'Raw Data'!$E:$E,D$3))</f>
        <v/>
      </c>
      <c r="F103" s="7" t="str">
        <f>IF($A103="","",SUMIFS('Raw Data'!$F:$F,'Raw Data'!$A:$A,$A103,'Raw Data'!$E:$E,F$3))</f>
        <v/>
      </c>
      <c r="G103" s="8" t="str">
        <f>IF($A103="","",SUMIFS('Raw Data'!$J:$J,'Raw Data'!$A:$A,$A103,'Raw Data'!$E:$E,F$3))</f>
        <v/>
      </c>
      <c r="H103" s="7" t="str">
        <f>IF($A103="","",SUMIFS('Raw Data'!$F:$F,'Raw Data'!$A:$A,$A103,'Raw Data'!$E:$E,H$3))</f>
        <v/>
      </c>
      <c r="I103" s="8" t="str">
        <f>IF($A103="","",SUMIFS('Raw Data'!$J:$J,'Raw Data'!$A:$A,$A103,'Raw Data'!$E:$E,H$3))</f>
        <v/>
      </c>
      <c r="J103" s="9" t="str">
        <f t="shared" si="9"/>
        <v/>
      </c>
      <c r="K103" s="10" t="str">
        <f t="shared" si="10"/>
        <v/>
      </c>
      <c r="L103" s="5" t="str">
        <f t="shared" si="11"/>
        <v/>
      </c>
    </row>
    <row r="104" spans="1:12" x14ac:dyDescent="0.3">
      <c r="A104" s="6" t="str">
        <f>IFERROR(INDEX('Raw Data'!$A$2:$A$200,_xlfn.AGGREGATE(15,6,(ROW('Raw Data'!$A$2:$A$200)-ROW('Raw Data'!$A$2)+1)/((COUNTIF($A$4:A103,'Raw Data'!$A$2:$A$200)=0)*('Raw Data'!$A$2:$A$200&lt;&gt;"")),1)),"")</f>
        <v/>
      </c>
      <c r="B104" s="7" t="str">
        <f>IF($A104="","",SUMIFS('Raw Data'!$F:$F,'Raw Data'!$A:$A,$A104,'Raw Data'!$E:$E,B$3))</f>
        <v/>
      </c>
      <c r="C104" s="8" t="str">
        <f>IF($A104="","",SUMIFS('Raw Data'!$J:$J,'Raw Data'!$A:$A,$A104,'Raw Data'!$E:$E,B$3))</f>
        <v/>
      </c>
      <c r="D104" s="7" t="str">
        <f>IF($A104="","",SUMIFS('Raw Data'!$F:$F,'Raw Data'!$A:$A,$A104,'Raw Data'!$E:$E,D$3))</f>
        <v/>
      </c>
      <c r="E104" s="8" t="str">
        <f>IF($A104="","",SUMIFS('Raw Data'!$J:$J,'Raw Data'!$A:$A,$A104,'Raw Data'!$E:$E,D$3))</f>
        <v/>
      </c>
      <c r="F104" s="7" t="str">
        <f>IF($A104="","",SUMIFS('Raw Data'!$F:$F,'Raw Data'!$A:$A,$A104,'Raw Data'!$E:$E,F$3))</f>
        <v/>
      </c>
      <c r="G104" s="8" t="str">
        <f>IF($A104="","",SUMIFS('Raw Data'!$J:$J,'Raw Data'!$A:$A,$A104,'Raw Data'!$E:$E,F$3))</f>
        <v/>
      </c>
      <c r="H104" s="7" t="str">
        <f>IF($A104="","",SUMIFS('Raw Data'!$F:$F,'Raw Data'!$A:$A,$A104,'Raw Data'!$E:$E,H$3))</f>
        <v/>
      </c>
      <c r="I104" s="8" t="str">
        <f>IF($A104="","",SUMIFS('Raw Data'!$J:$J,'Raw Data'!$A:$A,$A104,'Raw Data'!$E:$E,H$3))</f>
        <v/>
      </c>
      <c r="J104" s="9" t="str">
        <f t="shared" si="9"/>
        <v/>
      </c>
      <c r="K104" s="10" t="str">
        <f t="shared" si="10"/>
        <v/>
      </c>
      <c r="L104" s="5" t="str">
        <f t="shared" si="11"/>
        <v/>
      </c>
    </row>
    <row r="105" spans="1:12" x14ac:dyDescent="0.3">
      <c r="A105" s="6" t="str">
        <f>IFERROR(INDEX('Raw Data'!$A$2:$A$200,_xlfn.AGGREGATE(15,6,(ROW('Raw Data'!$A$2:$A$200)-ROW('Raw Data'!$A$2)+1)/((COUNTIF($A$4:A104,'Raw Data'!$A$2:$A$200)=0)*('Raw Data'!$A$2:$A$200&lt;&gt;"")),1)),"")</f>
        <v/>
      </c>
      <c r="B105" s="7" t="str">
        <f>IF($A105="","",SUMIFS('Raw Data'!$F:$F,'Raw Data'!$A:$A,$A105,'Raw Data'!$E:$E,B$3))</f>
        <v/>
      </c>
      <c r="C105" s="8" t="str">
        <f>IF($A105="","",SUMIFS('Raw Data'!$J:$J,'Raw Data'!$A:$A,$A105,'Raw Data'!$E:$E,B$3))</f>
        <v/>
      </c>
      <c r="D105" s="7" t="str">
        <f>IF($A105="","",SUMIFS('Raw Data'!$F:$F,'Raw Data'!$A:$A,$A105,'Raw Data'!$E:$E,D$3))</f>
        <v/>
      </c>
      <c r="E105" s="8" t="str">
        <f>IF($A105="","",SUMIFS('Raw Data'!$J:$J,'Raw Data'!$A:$A,$A105,'Raw Data'!$E:$E,D$3))</f>
        <v/>
      </c>
      <c r="F105" s="7" t="str">
        <f>IF($A105="","",SUMIFS('Raw Data'!$F:$F,'Raw Data'!$A:$A,$A105,'Raw Data'!$E:$E,F$3))</f>
        <v/>
      </c>
      <c r="G105" s="8" t="str">
        <f>IF($A105="","",SUMIFS('Raw Data'!$J:$J,'Raw Data'!$A:$A,$A105,'Raw Data'!$E:$E,F$3))</f>
        <v/>
      </c>
      <c r="H105" s="7" t="str">
        <f>IF($A105="","",SUMIFS('Raw Data'!$F:$F,'Raw Data'!$A:$A,$A105,'Raw Data'!$E:$E,H$3))</f>
        <v/>
      </c>
      <c r="I105" s="8" t="str">
        <f>IF($A105="","",SUMIFS('Raw Data'!$J:$J,'Raw Data'!$A:$A,$A105,'Raw Data'!$E:$E,H$3))</f>
        <v/>
      </c>
      <c r="J105" s="9" t="str">
        <f t="shared" si="9"/>
        <v/>
      </c>
      <c r="K105" s="10" t="str">
        <f t="shared" si="10"/>
        <v/>
      </c>
      <c r="L105" s="5" t="str">
        <f t="shared" si="11"/>
        <v/>
      </c>
    </row>
    <row r="106" spans="1:12" x14ac:dyDescent="0.3">
      <c r="A106" s="6" t="str">
        <f>IFERROR(INDEX('Raw Data'!$A$2:$A$200,_xlfn.AGGREGATE(15,6,(ROW('Raw Data'!$A$2:$A$200)-ROW('Raw Data'!$A$2)+1)/((COUNTIF($A$4:A105,'Raw Data'!$A$2:$A$200)=0)*('Raw Data'!$A$2:$A$200&lt;&gt;"")),1)),"")</f>
        <v/>
      </c>
      <c r="B106" s="7" t="str">
        <f>IF($A106="","",SUMIFS('Raw Data'!$F:$F,'Raw Data'!$A:$A,$A106,'Raw Data'!$E:$E,B$3))</f>
        <v/>
      </c>
      <c r="C106" s="8" t="str">
        <f>IF($A106="","",SUMIFS('Raw Data'!$J:$J,'Raw Data'!$A:$A,$A106,'Raw Data'!$E:$E,B$3))</f>
        <v/>
      </c>
      <c r="D106" s="7" t="str">
        <f>IF($A106="","",SUMIFS('Raw Data'!$F:$F,'Raw Data'!$A:$A,$A106,'Raw Data'!$E:$E,D$3))</f>
        <v/>
      </c>
      <c r="E106" s="8" t="str">
        <f>IF($A106="","",SUMIFS('Raw Data'!$J:$J,'Raw Data'!$A:$A,$A106,'Raw Data'!$E:$E,D$3))</f>
        <v/>
      </c>
      <c r="F106" s="7" t="str">
        <f>IF($A106="","",SUMIFS('Raw Data'!$F:$F,'Raw Data'!$A:$A,$A106,'Raw Data'!$E:$E,F$3))</f>
        <v/>
      </c>
      <c r="G106" s="8" t="str">
        <f>IF($A106="","",SUMIFS('Raw Data'!$J:$J,'Raw Data'!$A:$A,$A106,'Raw Data'!$E:$E,F$3))</f>
        <v/>
      </c>
      <c r="H106" s="7" t="str">
        <f>IF($A106="","",SUMIFS('Raw Data'!$F:$F,'Raw Data'!$A:$A,$A106,'Raw Data'!$E:$E,H$3))</f>
        <v/>
      </c>
      <c r="I106" s="8" t="str">
        <f>IF($A106="","",SUMIFS('Raw Data'!$J:$J,'Raw Data'!$A:$A,$A106,'Raw Data'!$E:$E,H$3))</f>
        <v/>
      </c>
      <c r="J106" s="9" t="str">
        <f t="shared" si="9"/>
        <v/>
      </c>
      <c r="K106" s="10" t="str">
        <f t="shared" si="10"/>
        <v/>
      </c>
      <c r="L106" s="5" t="str">
        <f t="shared" si="11"/>
        <v/>
      </c>
    </row>
    <row r="107" spans="1:12" x14ac:dyDescent="0.3">
      <c r="A107" s="6" t="str">
        <f>IFERROR(INDEX('Raw Data'!$A$2:$A$200,_xlfn.AGGREGATE(15,6,(ROW('Raw Data'!$A$2:$A$200)-ROW('Raw Data'!$A$2)+1)/((COUNTIF($A$4:A106,'Raw Data'!$A$2:$A$200)=0)*('Raw Data'!$A$2:$A$200&lt;&gt;"")),1)),"")</f>
        <v/>
      </c>
      <c r="B107" s="7" t="str">
        <f>IF($A107="","",SUMIFS('Raw Data'!$F:$F,'Raw Data'!$A:$A,$A107,'Raw Data'!$E:$E,B$3))</f>
        <v/>
      </c>
      <c r="C107" s="8" t="str">
        <f>IF($A107="","",SUMIFS('Raw Data'!$J:$J,'Raw Data'!$A:$A,$A107,'Raw Data'!$E:$E,B$3))</f>
        <v/>
      </c>
      <c r="D107" s="7" t="str">
        <f>IF($A107="","",SUMIFS('Raw Data'!$F:$F,'Raw Data'!$A:$A,$A107,'Raw Data'!$E:$E,D$3))</f>
        <v/>
      </c>
      <c r="E107" s="8" t="str">
        <f>IF($A107="","",SUMIFS('Raw Data'!$J:$J,'Raw Data'!$A:$A,$A107,'Raw Data'!$E:$E,D$3))</f>
        <v/>
      </c>
      <c r="F107" s="7" t="str">
        <f>IF($A107="","",SUMIFS('Raw Data'!$F:$F,'Raw Data'!$A:$A,$A107,'Raw Data'!$E:$E,F$3))</f>
        <v/>
      </c>
      <c r="G107" s="8" t="str">
        <f>IF($A107="","",SUMIFS('Raw Data'!$J:$J,'Raw Data'!$A:$A,$A107,'Raw Data'!$E:$E,F$3))</f>
        <v/>
      </c>
      <c r="H107" s="7" t="str">
        <f>IF($A107="","",SUMIFS('Raw Data'!$F:$F,'Raw Data'!$A:$A,$A107,'Raw Data'!$E:$E,H$3))</f>
        <v/>
      </c>
      <c r="I107" s="8" t="str">
        <f>IF($A107="","",SUMIFS('Raw Data'!$J:$J,'Raw Data'!$A:$A,$A107,'Raw Data'!$E:$E,H$3))</f>
        <v/>
      </c>
      <c r="J107" s="9" t="str">
        <f t="shared" si="9"/>
        <v/>
      </c>
      <c r="K107" s="10" t="str">
        <f t="shared" si="10"/>
        <v/>
      </c>
      <c r="L107" s="5" t="str">
        <f t="shared" si="11"/>
        <v/>
      </c>
    </row>
    <row r="108" spans="1:12" x14ac:dyDescent="0.3">
      <c r="A108" s="6" t="str">
        <f>IFERROR(INDEX('Raw Data'!$A$2:$A$200,_xlfn.AGGREGATE(15,6,(ROW('Raw Data'!$A$2:$A$200)-ROW('Raw Data'!$A$2)+1)/((COUNTIF($A$4:A107,'Raw Data'!$A$2:$A$200)=0)*('Raw Data'!$A$2:$A$200&lt;&gt;"")),1)),"")</f>
        <v/>
      </c>
      <c r="B108" s="7" t="str">
        <f>IF($A108="","",SUMIFS('Raw Data'!$F:$F,'Raw Data'!$A:$A,$A108,'Raw Data'!$E:$E,B$3))</f>
        <v/>
      </c>
      <c r="C108" s="8" t="str">
        <f>IF($A108="","",SUMIFS('Raw Data'!$J:$J,'Raw Data'!$A:$A,$A108,'Raw Data'!$E:$E,B$3))</f>
        <v/>
      </c>
      <c r="D108" s="7" t="str">
        <f>IF($A108="","",SUMIFS('Raw Data'!$F:$F,'Raw Data'!$A:$A,$A108,'Raw Data'!$E:$E,D$3))</f>
        <v/>
      </c>
      <c r="E108" s="8" t="str">
        <f>IF($A108="","",SUMIFS('Raw Data'!$J:$J,'Raw Data'!$A:$A,$A108,'Raw Data'!$E:$E,D$3))</f>
        <v/>
      </c>
      <c r="F108" s="7" t="str">
        <f>IF($A108="","",SUMIFS('Raw Data'!$F:$F,'Raw Data'!$A:$A,$A108,'Raw Data'!$E:$E,F$3))</f>
        <v/>
      </c>
      <c r="G108" s="8" t="str">
        <f>IF($A108="","",SUMIFS('Raw Data'!$J:$J,'Raw Data'!$A:$A,$A108,'Raw Data'!$E:$E,F$3))</f>
        <v/>
      </c>
      <c r="H108" s="7" t="str">
        <f>IF($A108="","",SUMIFS('Raw Data'!$F:$F,'Raw Data'!$A:$A,$A108,'Raw Data'!$E:$E,H$3))</f>
        <v/>
      </c>
      <c r="I108" s="8" t="str">
        <f>IF($A108="","",SUMIFS('Raw Data'!$J:$J,'Raw Data'!$A:$A,$A108,'Raw Data'!$E:$E,H$3))</f>
        <v/>
      </c>
      <c r="J108" s="9" t="str">
        <f t="shared" si="9"/>
        <v/>
      </c>
      <c r="K108" s="10" t="str">
        <f t="shared" si="10"/>
        <v/>
      </c>
      <c r="L108" s="5" t="str">
        <f t="shared" si="11"/>
        <v/>
      </c>
    </row>
    <row r="109" spans="1:12" x14ac:dyDescent="0.3">
      <c r="A109" s="6" t="str">
        <f>IFERROR(INDEX('Raw Data'!$A$2:$A$200,_xlfn.AGGREGATE(15,6,(ROW('Raw Data'!$A$2:$A$200)-ROW('Raw Data'!$A$2)+1)/((COUNTIF($A$4:A108,'Raw Data'!$A$2:$A$200)=0)*('Raw Data'!$A$2:$A$200&lt;&gt;"")),1)),"")</f>
        <v/>
      </c>
      <c r="B109" s="7" t="str">
        <f>IF($A109="","",SUMIFS('Raw Data'!$F:$F,'Raw Data'!$A:$A,$A109,'Raw Data'!$E:$E,B$3))</f>
        <v/>
      </c>
      <c r="C109" s="8" t="str">
        <f>IF($A109="","",SUMIFS('Raw Data'!$J:$J,'Raw Data'!$A:$A,$A109,'Raw Data'!$E:$E,B$3))</f>
        <v/>
      </c>
      <c r="D109" s="7" t="str">
        <f>IF($A109="","",SUMIFS('Raw Data'!$F:$F,'Raw Data'!$A:$A,$A109,'Raw Data'!$E:$E,D$3))</f>
        <v/>
      </c>
      <c r="E109" s="8" t="str">
        <f>IF($A109="","",SUMIFS('Raw Data'!$J:$J,'Raw Data'!$A:$A,$A109,'Raw Data'!$E:$E,D$3))</f>
        <v/>
      </c>
      <c r="F109" s="7" t="str">
        <f>IF($A109="","",SUMIFS('Raw Data'!$F:$F,'Raw Data'!$A:$A,$A109,'Raw Data'!$E:$E,F$3))</f>
        <v/>
      </c>
      <c r="G109" s="8" t="str">
        <f>IF($A109="","",SUMIFS('Raw Data'!$J:$J,'Raw Data'!$A:$A,$A109,'Raw Data'!$E:$E,F$3))</f>
        <v/>
      </c>
      <c r="H109" s="7" t="str">
        <f>IF($A109="","",SUMIFS('Raw Data'!$F:$F,'Raw Data'!$A:$A,$A109,'Raw Data'!$E:$E,H$3))</f>
        <v/>
      </c>
      <c r="I109" s="8" t="str">
        <f>IF($A109="","",SUMIFS('Raw Data'!$J:$J,'Raw Data'!$A:$A,$A109,'Raw Data'!$E:$E,H$3))</f>
        <v/>
      </c>
      <c r="J109" s="9" t="str">
        <f t="shared" si="9"/>
        <v/>
      </c>
      <c r="K109" s="10" t="str">
        <f t="shared" si="10"/>
        <v/>
      </c>
      <c r="L109" s="5" t="str">
        <f t="shared" si="11"/>
        <v/>
      </c>
    </row>
    <row r="110" spans="1:12" x14ac:dyDescent="0.3">
      <c r="A110" s="6" t="str">
        <f>IFERROR(INDEX('Raw Data'!$A$2:$A$200,_xlfn.AGGREGATE(15,6,(ROW('Raw Data'!$A$2:$A$200)-ROW('Raw Data'!$A$2)+1)/((COUNTIF($A$4:A109,'Raw Data'!$A$2:$A$200)=0)*('Raw Data'!$A$2:$A$200&lt;&gt;"")),1)),"")</f>
        <v/>
      </c>
      <c r="B110" s="7" t="str">
        <f>IF($A110="","",SUMIFS('Raw Data'!$F:$F,'Raw Data'!$A:$A,$A110,'Raw Data'!$E:$E,B$3))</f>
        <v/>
      </c>
      <c r="C110" s="8" t="str">
        <f>IF($A110="","",SUMIFS('Raw Data'!$J:$J,'Raw Data'!$A:$A,$A110,'Raw Data'!$E:$E,B$3))</f>
        <v/>
      </c>
      <c r="D110" s="7" t="str">
        <f>IF($A110="","",SUMIFS('Raw Data'!$F:$F,'Raw Data'!$A:$A,$A110,'Raw Data'!$E:$E,D$3))</f>
        <v/>
      </c>
      <c r="E110" s="8" t="str">
        <f>IF($A110="","",SUMIFS('Raw Data'!$J:$J,'Raw Data'!$A:$A,$A110,'Raw Data'!$E:$E,D$3))</f>
        <v/>
      </c>
      <c r="F110" s="7" t="str">
        <f>IF($A110="","",SUMIFS('Raw Data'!$F:$F,'Raw Data'!$A:$A,$A110,'Raw Data'!$E:$E,F$3))</f>
        <v/>
      </c>
      <c r="G110" s="8" t="str">
        <f>IF($A110="","",SUMIFS('Raw Data'!$J:$J,'Raw Data'!$A:$A,$A110,'Raw Data'!$E:$E,F$3))</f>
        <v/>
      </c>
      <c r="H110" s="7" t="str">
        <f>IF($A110="","",SUMIFS('Raw Data'!$F:$F,'Raw Data'!$A:$A,$A110,'Raw Data'!$E:$E,H$3))</f>
        <v/>
      </c>
      <c r="I110" s="8" t="str">
        <f>IF($A110="","",SUMIFS('Raw Data'!$J:$J,'Raw Data'!$A:$A,$A110,'Raw Data'!$E:$E,H$3))</f>
        <v/>
      </c>
      <c r="J110" s="9" t="str">
        <f t="shared" si="9"/>
        <v/>
      </c>
      <c r="K110" s="10" t="str">
        <f t="shared" si="10"/>
        <v/>
      </c>
      <c r="L110" s="5" t="str">
        <f t="shared" si="11"/>
        <v/>
      </c>
    </row>
    <row r="111" spans="1:12" x14ac:dyDescent="0.3">
      <c r="A111" s="6" t="str">
        <f>IFERROR(INDEX('Raw Data'!$A$2:$A$200,_xlfn.AGGREGATE(15,6,(ROW('Raw Data'!$A$2:$A$200)-ROW('Raw Data'!$A$2)+1)/((COUNTIF($A$4:A110,'Raw Data'!$A$2:$A$200)=0)*('Raw Data'!$A$2:$A$200&lt;&gt;"")),1)),"")</f>
        <v/>
      </c>
      <c r="B111" s="7" t="str">
        <f>IF($A111="","",SUMIFS('Raw Data'!$F:$F,'Raw Data'!$A:$A,$A111,'Raw Data'!$E:$E,B$3))</f>
        <v/>
      </c>
      <c r="C111" s="8" t="str">
        <f>IF($A111="","",SUMIFS('Raw Data'!$J:$J,'Raw Data'!$A:$A,$A111,'Raw Data'!$E:$E,B$3))</f>
        <v/>
      </c>
      <c r="D111" s="7" t="str">
        <f>IF($A111="","",SUMIFS('Raw Data'!$F:$F,'Raw Data'!$A:$A,$A111,'Raw Data'!$E:$E,D$3))</f>
        <v/>
      </c>
      <c r="E111" s="8" t="str">
        <f>IF($A111="","",SUMIFS('Raw Data'!$J:$J,'Raw Data'!$A:$A,$A111,'Raw Data'!$E:$E,D$3))</f>
        <v/>
      </c>
      <c r="F111" s="7" t="str">
        <f>IF($A111="","",SUMIFS('Raw Data'!$F:$F,'Raw Data'!$A:$A,$A111,'Raw Data'!$E:$E,F$3))</f>
        <v/>
      </c>
      <c r="G111" s="8" t="str">
        <f>IF($A111="","",SUMIFS('Raw Data'!$J:$J,'Raw Data'!$A:$A,$A111,'Raw Data'!$E:$E,F$3))</f>
        <v/>
      </c>
      <c r="H111" s="7" t="str">
        <f>IF($A111="","",SUMIFS('Raw Data'!$F:$F,'Raw Data'!$A:$A,$A111,'Raw Data'!$E:$E,H$3))</f>
        <v/>
      </c>
      <c r="I111" s="8" t="str">
        <f>IF($A111="","",SUMIFS('Raw Data'!$J:$J,'Raw Data'!$A:$A,$A111,'Raw Data'!$E:$E,H$3))</f>
        <v/>
      </c>
      <c r="J111" s="9" t="str">
        <f t="shared" si="9"/>
        <v/>
      </c>
      <c r="K111" s="10" t="str">
        <f t="shared" si="10"/>
        <v/>
      </c>
      <c r="L111" s="5" t="str">
        <f t="shared" si="11"/>
        <v/>
      </c>
    </row>
    <row r="112" spans="1:12" x14ac:dyDescent="0.3">
      <c r="A112" s="6" t="str">
        <f>IFERROR(INDEX('Raw Data'!$A$2:$A$200,_xlfn.AGGREGATE(15,6,(ROW('Raw Data'!$A$2:$A$200)-ROW('Raw Data'!$A$2)+1)/((COUNTIF($A$4:A111,'Raw Data'!$A$2:$A$200)=0)*('Raw Data'!$A$2:$A$200&lt;&gt;"")),1)),"")</f>
        <v/>
      </c>
      <c r="B112" s="7" t="str">
        <f>IF($A112="","",SUMIFS('Raw Data'!$F:$F,'Raw Data'!$A:$A,$A112,'Raw Data'!$E:$E,B$3))</f>
        <v/>
      </c>
      <c r="C112" s="8" t="str">
        <f>IF($A112="","",SUMIFS('Raw Data'!$J:$J,'Raw Data'!$A:$A,$A112,'Raw Data'!$E:$E,B$3))</f>
        <v/>
      </c>
      <c r="D112" s="7" t="str">
        <f>IF($A112="","",SUMIFS('Raw Data'!$F:$F,'Raw Data'!$A:$A,$A112,'Raw Data'!$E:$E,D$3))</f>
        <v/>
      </c>
      <c r="E112" s="8" t="str">
        <f>IF($A112="","",SUMIFS('Raw Data'!$J:$J,'Raw Data'!$A:$A,$A112,'Raw Data'!$E:$E,D$3))</f>
        <v/>
      </c>
      <c r="F112" s="7" t="str">
        <f>IF($A112="","",SUMIFS('Raw Data'!$F:$F,'Raw Data'!$A:$A,$A112,'Raw Data'!$E:$E,F$3))</f>
        <v/>
      </c>
      <c r="G112" s="8" t="str">
        <f>IF($A112="","",SUMIFS('Raw Data'!$J:$J,'Raw Data'!$A:$A,$A112,'Raw Data'!$E:$E,F$3))</f>
        <v/>
      </c>
      <c r="H112" s="7" t="str">
        <f>IF($A112="","",SUMIFS('Raw Data'!$F:$F,'Raw Data'!$A:$A,$A112,'Raw Data'!$E:$E,H$3))</f>
        <v/>
      </c>
      <c r="I112" s="8" t="str">
        <f>IF($A112="","",SUMIFS('Raw Data'!$J:$J,'Raw Data'!$A:$A,$A112,'Raw Data'!$E:$E,H$3))</f>
        <v/>
      </c>
      <c r="J112" s="9" t="str">
        <f t="shared" si="9"/>
        <v/>
      </c>
      <c r="K112" s="10" t="str">
        <f t="shared" si="10"/>
        <v/>
      </c>
      <c r="L112" s="5" t="str">
        <f t="shared" si="11"/>
        <v/>
      </c>
    </row>
    <row r="113" spans="1:12" x14ac:dyDescent="0.3">
      <c r="A113" s="6" t="str">
        <f>IFERROR(INDEX('Raw Data'!$A$2:$A$200,_xlfn.AGGREGATE(15,6,(ROW('Raw Data'!$A$2:$A$200)-ROW('Raw Data'!$A$2)+1)/((COUNTIF($A$4:A112,'Raw Data'!$A$2:$A$200)=0)*('Raw Data'!$A$2:$A$200&lt;&gt;"")),1)),"")</f>
        <v/>
      </c>
      <c r="B113" s="7" t="str">
        <f>IF($A113="","",SUMIFS('Raw Data'!$F:$F,'Raw Data'!$A:$A,$A113,'Raw Data'!$E:$E,B$3))</f>
        <v/>
      </c>
      <c r="C113" s="8" t="str">
        <f>IF($A113="","",SUMIFS('Raw Data'!$J:$J,'Raw Data'!$A:$A,$A113,'Raw Data'!$E:$E,B$3))</f>
        <v/>
      </c>
      <c r="D113" s="7" t="str">
        <f>IF($A113="","",SUMIFS('Raw Data'!$F:$F,'Raw Data'!$A:$A,$A113,'Raw Data'!$E:$E,D$3))</f>
        <v/>
      </c>
      <c r="E113" s="8" t="str">
        <f>IF($A113="","",SUMIFS('Raw Data'!$J:$J,'Raw Data'!$A:$A,$A113,'Raw Data'!$E:$E,D$3))</f>
        <v/>
      </c>
      <c r="F113" s="7" t="str">
        <f>IF($A113="","",SUMIFS('Raw Data'!$F:$F,'Raw Data'!$A:$A,$A113,'Raw Data'!$E:$E,F$3))</f>
        <v/>
      </c>
      <c r="G113" s="8" t="str">
        <f>IF($A113="","",SUMIFS('Raw Data'!$J:$J,'Raw Data'!$A:$A,$A113,'Raw Data'!$E:$E,F$3))</f>
        <v/>
      </c>
      <c r="H113" s="7" t="str">
        <f>IF($A113="","",SUMIFS('Raw Data'!$F:$F,'Raw Data'!$A:$A,$A113,'Raw Data'!$E:$E,H$3))</f>
        <v/>
      </c>
      <c r="I113" s="8" t="str">
        <f>IF($A113="","",SUMIFS('Raw Data'!$J:$J,'Raw Data'!$A:$A,$A113,'Raw Data'!$E:$E,H$3))</f>
        <v/>
      </c>
      <c r="J113" s="9" t="str">
        <f t="shared" si="9"/>
        <v/>
      </c>
      <c r="K113" s="10" t="str">
        <f t="shared" si="10"/>
        <v/>
      </c>
      <c r="L113" s="5" t="str">
        <f t="shared" si="11"/>
        <v/>
      </c>
    </row>
    <row r="114" spans="1:12" x14ac:dyDescent="0.3">
      <c r="A114" s="6" t="str">
        <f>IFERROR(INDEX('Raw Data'!$A$2:$A$200,_xlfn.AGGREGATE(15,6,(ROW('Raw Data'!$A$2:$A$200)-ROW('Raw Data'!$A$2)+1)/((COUNTIF($A$4:A113,'Raw Data'!$A$2:$A$200)=0)*('Raw Data'!$A$2:$A$200&lt;&gt;"")),1)),"")</f>
        <v/>
      </c>
      <c r="B114" s="7" t="str">
        <f>IF($A114="","",SUMIFS('Raw Data'!$F:$F,'Raw Data'!$A:$A,$A114,'Raw Data'!$E:$E,B$3))</f>
        <v/>
      </c>
      <c r="C114" s="8" t="str">
        <f>IF($A114="","",SUMIFS('Raw Data'!$J:$J,'Raw Data'!$A:$A,$A114,'Raw Data'!$E:$E,B$3))</f>
        <v/>
      </c>
      <c r="D114" s="7" t="str">
        <f>IF($A114="","",SUMIFS('Raw Data'!$F:$F,'Raw Data'!$A:$A,$A114,'Raw Data'!$E:$E,D$3))</f>
        <v/>
      </c>
      <c r="E114" s="8" t="str">
        <f>IF($A114="","",SUMIFS('Raw Data'!$J:$J,'Raw Data'!$A:$A,$A114,'Raw Data'!$E:$E,D$3))</f>
        <v/>
      </c>
      <c r="F114" s="7" t="str">
        <f>IF($A114="","",SUMIFS('Raw Data'!$F:$F,'Raw Data'!$A:$A,$A114,'Raw Data'!$E:$E,F$3))</f>
        <v/>
      </c>
      <c r="G114" s="8" t="str">
        <f>IF($A114="","",SUMIFS('Raw Data'!$J:$J,'Raw Data'!$A:$A,$A114,'Raw Data'!$E:$E,F$3))</f>
        <v/>
      </c>
      <c r="H114" s="7" t="str">
        <f>IF($A114="","",SUMIFS('Raw Data'!$F:$F,'Raw Data'!$A:$A,$A114,'Raw Data'!$E:$E,H$3))</f>
        <v/>
      </c>
      <c r="I114" s="8" t="str">
        <f>IF($A114="","",SUMIFS('Raw Data'!$J:$J,'Raw Data'!$A:$A,$A114,'Raw Data'!$E:$E,H$3))</f>
        <v/>
      </c>
      <c r="J114" s="9" t="str">
        <f t="shared" si="9"/>
        <v/>
      </c>
      <c r="K114" s="10" t="str">
        <f t="shared" si="10"/>
        <v/>
      </c>
      <c r="L114" s="5" t="str">
        <f t="shared" si="11"/>
        <v/>
      </c>
    </row>
    <row r="115" spans="1:12" x14ac:dyDescent="0.3">
      <c r="A115" s="6" t="str">
        <f>IFERROR(INDEX('Raw Data'!$A$2:$A$200,_xlfn.AGGREGATE(15,6,(ROW('Raw Data'!$A$2:$A$200)-ROW('Raw Data'!$A$2)+1)/((COUNTIF($A$4:A114,'Raw Data'!$A$2:$A$200)=0)*('Raw Data'!$A$2:$A$200&lt;&gt;"")),1)),"")</f>
        <v/>
      </c>
      <c r="B115" s="7" t="str">
        <f>IF($A115="","",SUMIFS('Raw Data'!$F:$F,'Raw Data'!$A:$A,$A115,'Raw Data'!$E:$E,B$3))</f>
        <v/>
      </c>
      <c r="C115" s="8" t="str">
        <f>IF($A115="","",SUMIFS('Raw Data'!$J:$J,'Raw Data'!$A:$A,$A115,'Raw Data'!$E:$E,B$3))</f>
        <v/>
      </c>
      <c r="D115" s="7" t="str">
        <f>IF($A115="","",SUMIFS('Raw Data'!$F:$F,'Raw Data'!$A:$A,$A115,'Raw Data'!$E:$E,D$3))</f>
        <v/>
      </c>
      <c r="E115" s="8" t="str">
        <f>IF($A115="","",SUMIFS('Raw Data'!$J:$J,'Raw Data'!$A:$A,$A115,'Raw Data'!$E:$E,D$3))</f>
        <v/>
      </c>
      <c r="F115" s="7" t="str">
        <f>IF($A115="","",SUMIFS('Raw Data'!$F:$F,'Raw Data'!$A:$A,$A115,'Raw Data'!$E:$E,F$3))</f>
        <v/>
      </c>
      <c r="G115" s="8" t="str">
        <f>IF($A115="","",SUMIFS('Raw Data'!$J:$J,'Raw Data'!$A:$A,$A115,'Raw Data'!$E:$E,F$3))</f>
        <v/>
      </c>
      <c r="H115" s="7" t="str">
        <f>IF($A115="","",SUMIFS('Raw Data'!$F:$F,'Raw Data'!$A:$A,$A115,'Raw Data'!$E:$E,H$3))</f>
        <v/>
      </c>
      <c r="I115" s="8" t="str">
        <f>IF($A115="","",SUMIFS('Raw Data'!$J:$J,'Raw Data'!$A:$A,$A115,'Raw Data'!$E:$E,H$3))</f>
        <v/>
      </c>
      <c r="J115" s="9" t="str">
        <f t="shared" si="9"/>
        <v/>
      </c>
      <c r="K115" s="10" t="str">
        <f t="shared" si="10"/>
        <v/>
      </c>
      <c r="L115" s="5" t="str">
        <f t="shared" si="11"/>
        <v/>
      </c>
    </row>
    <row r="116" spans="1:12" x14ac:dyDescent="0.3">
      <c r="A116" s="6" t="str">
        <f>IFERROR(INDEX('Raw Data'!$A$2:$A$200,_xlfn.AGGREGATE(15,6,(ROW('Raw Data'!$A$2:$A$200)-ROW('Raw Data'!$A$2)+1)/((COUNTIF($A$4:A115,'Raw Data'!$A$2:$A$200)=0)*('Raw Data'!$A$2:$A$200&lt;&gt;"")),1)),"")</f>
        <v/>
      </c>
      <c r="B116" s="7" t="str">
        <f>IF($A116="","",SUMIFS('Raw Data'!$F:$F,'Raw Data'!$A:$A,$A116,'Raw Data'!$E:$E,B$3))</f>
        <v/>
      </c>
      <c r="C116" s="8" t="str">
        <f>IF($A116="","",SUMIFS('Raw Data'!$J:$J,'Raw Data'!$A:$A,$A116,'Raw Data'!$E:$E,B$3))</f>
        <v/>
      </c>
      <c r="D116" s="7" t="str">
        <f>IF($A116="","",SUMIFS('Raw Data'!$F:$F,'Raw Data'!$A:$A,$A116,'Raw Data'!$E:$E,D$3))</f>
        <v/>
      </c>
      <c r="E116" s="8" t="str">
        <f>IF($A116="","",SUMIFS('Raw Data'!$J:$J,'Raw Data'!$A:$A,$A116,'Raw Data'!$E:$E,D$3))</f>
        <v/>
      </c>
      <c r="F116" s="7" t="str">
        <f>IF($A116="","",SUMIFS('Raw Data'!$F:$F,'Raw Data'!$A:$A,$A116,'Raw Data'!$E:$E,F$3))</f>
        <v/>
      </c>
      <c r="G116" s="8" t="str">
        <f>IF($A116="","",SUMIFS('Raw Data'!$J:$J,'Raw Data'!$A:$A,$A116,'Raw Data'!$E:$E,F$3))</f>
        <v/>
      </c>
      <c r="H116" s="7" t="str">
        <f>IF($A116="","",SUMIFS('Raw Data'!$F:$F,'Raw Data'!$A:$A,$A116,'Raw Data'!$E:$E,H$3))</f>
        <v/>
      </c>
      <c r="I116" s="8" t="str">
        <f>IF($A116="","",SUMIFS('Raw Data'!$J:$J,'Raw Data'!$A:$A,$A116,'Raw Data'!$E:$E,H$3))</f>
        <v/>
      </c>
      <c r="J116" s="9" t="str">
        <f t="shared" si="9"/>
        <v/>
      </c>
      <c r="K116" s="10" t="str">
        <f t="shared" si="10"/>
        <v/>
      </c>
      <c r="L116" s="5" t="str">
        <f t="shared" si="11"/>
        <v/>
      </c>
    </row>
    <row r="117" spans="1:12" x14ac:dyDescent="0.3">
      <c r="A117" s="6" t="str">
        <f>IFERROR(INDEX('Raw Data'!$A$2:$A$200,_xlfn.AGGREGATE(15,6,(ROW('Raw Data'!$A$2:$A$200)-ROW('Raw Data'!$A$2)+1)/((COUNTIF($A$4:A116,'Raw Data'!$A$2:$A$200)=0)*('Raw Data'!$A$2:$A$200&lt;&gt;"")),1)),"")</f>
        <v/>
      </c>
      <c r="B117" s="7" t="str">
        <f>IF($A117="","",SUMIFS('Raw Data'!$F:$F,'Raw Data'!$A:$A,$A117,'Raw Data'!$E:$E,B$3))</f>
        <v/>
      </c>
      <c r="C117" s="8" t="str">
        <f>IF($A117="","",SUMIFS('Raw Data'!$J:$J,'Raw Data'!$A:$A,$A117,'Raw Data'!$E:$E,B$3))</f>
        <v/>
      </c>
      <c r="D117" s="7" t="str">
        <f>IF($A117="","",SUMIFS('Raw Data'!$F:$F,'Raw Data'!$A:$A,$A117,'Raw Data'!$E:$E,D$3))</f>
        <v/>
      </c>
      <c r="E117" s="8" t="str">
        <f>IF($A117="","",SUMIFS('Raw Data'!$J:$J,'Raw Data'!$A:$A,$A117,'Raw Data'!$E:$E,D$3))</f>
        <v/>
      </c>
      <c r="F117" s="7" t="str">
        <f>IF($A117="","",SUMIFS('Raw Data'!$F:$F,'Raw Data'!$A:$A,$A117,'Raw Data'!$E:$E,F$3))</f>
        <v/>
      </c>
      <c r="G117" s="8" t="str">
        <f>IF($A117="","",SUMIFS('Raw Data'!$J:$J,'Raw Data'!$A:$A,$A117,'Raw Data'!$E:$E,F$3))</f>
        <v/>
      </c>
      <c r="H117" s="7" t="str">
        <f>IF($A117="","",SUMIFS('Raw Data'!$F:$F,'Raw Data'!$A:$A,$A117,'Raw Data'!$E:$E,H$3))</f>
        <v/>
      </c>
      <c r="I117" s="8" t="str">
        <f>IF($A117="","",SUMIFS('Raw Data'!$J:$J,'Raw Data'!$A:$A,$A117,'Raw Data'!$E:$E,H$3))</f>
        <v/>
      </c>
      <c r="J117" s="9" t="str">
        <f t="shared" si="9"/>
        <v/>
      </c>
      <c r="K117" s="10" t="str">
        <f t="shared" si="10"/>
        <v/>
      </c>
      <c r="L117" s="5" t="str">
        <f t="shared" si="11"/>
        <v/>
      </c>
    </row>
    <row r="118" spans="1:12" x14ac:dyDescent="0.3">
      <c r="A118" s="6" t="str">
        <f>IFERROR(INDEX('Raw Data'!$A$2:$A$200,_xlfn.AGGREGATE(15,6,(ROW('Raw Data'!$A$2:$A$200)-ROW('Raw Data'!$A$2)+1)/((COUNTIF($A$4:A117,'Raw Data'!$A$2:$A$200)=0)*('Raw Data'!$A$2:$A$200&lt;&gt;"")),1)),"")</f>
        <v/>
      </c>
      <c r="B118" s="7" t="str">
        <f>IF($A118="","",SUMIFS('Raw Data'!$F:$F,'Raw Data'!$A:$A,$A118,'Raw Data'!$E:$E,B$3))</f>
        <v/>
      </c>
      <c r="C118" s="8" t="str">
        <f>IF($A118="","",SUMIFS('Raw Data'!$J:$J,'Raw Data'!$A:$A,$A118,'Raw Data'!$E:$E,B$3))</f>
        <v/>
      </c>
      <c r="D118" s="7" t="str">
        <f>IF($A118="","",SUMIFS('Raw Data'!$F:$F,'Raw Data'!$A:$A,$A118,'Raw Data'!$E:$E,D$3))</f>
        <v/>
      </c>
      <c r="E118" s="8" t="str">
        <f>IF($A118="","",SUMIFS('Raw Data'!$J:$J,'Raw Data'!$A:$A,$A118,'Raw Data'!$E:$E,D$3))</f>
        <v/>
      </c>
      <c r="F118" s="7" t="str">
        <f>IF($A118="","",SUMIFS('Raw Data'!$F:$F,'Raw Data'!$A:$A,$A118,'Raw Data'!$E:$E,F$3))</f>
        <v/>
      </c>
      <c r="G118" s="8" t="str">
        <f>IF($A118="","",SUMIFS('Raw Data'!$J:$J,'Raw Data'!$A:$A,$A118,'Raw Data'!$E:$E,F$3))</f>
        <v/>
      </c>
      <c r="H118" s="7" t="str">
        <f>IF($A118="","",SUMIFS('Raw Data'!$F:$F,'Raw Data'!$A:$A,$A118,'Raw Data'!$E:$E,H$3))</f>
        <v/>
      </c>
      <c r="I118" s="8" t="str">
        <f>IF($A118="","",SUMIFS('Raw Data'!$J:$J,'Raw Data'!$A:$A,$A118,'Raw Data'!$E:$E,H$3))</f>
        <v/>
      </c>
      <c r="J118" s="9" t="str">
        <f t="shared" si="9"/>
        <v/>
      </c>
      <c r="K118" s="10" t="str">
        <f t="shared" si="10"/>
        <v/>
      </c>
      <c r="L118" s="5" t="str">
        <f t="shared" si="11"/>
        <v/>
      </c>
    </row>
    <row r="119" spans="1:12" x14ac:dyDescent="0.3">
      <c r="A119" s="6" t="str">
        <f>IFERROR(INDEX('Raw Data'!$A$2:$A$200,_xlfn.AGGREGATE(15,6,(ROW('Raw Data'!$A$2:$A$200)-ROW('Raw Data'!$A$2)+1)/((COUNTIF($A$4:A118,'Raw Data'!$A$2:$A$200)=0)*('Raw Data'!$A$2:$A$200&lt;&gt;"")),1)),"")</f>
        <v/>
      </c>
      <c r="B119" s="7" t="str">
        <f>IF($A119="","",SUMIFS('Raw Data'!$F:$F,'Raw Data'!$A:$A,$A119,'Raw Data'!$E:$E,B$3))</f>
        <v/>
      </c>
      <c r="C119" s="8" t="str">
        <f>IF($A119="","",SUMIFS('Raw Data'!$J:$J,'Raw Data'!$A:$A,$A119,'Raw Data'!$E:$E,B$3))</f>
        <v/>
      </c>
      <c r="D119" s="7" t="str">
        <f>IF($A119="","",SUMIFS('Raw Data'!$F:$F,'Raw Data'!$A:$A,$A119,'Raw Data'!$E:$E,D$3))</f>
        <v/>
      </c>
      <c r="E119" s="8" t="str">
        <f>IF($A119="","",SUMIFS('Raw Data'!$J:$J,'Raw Data'!$A:$A,$A119,'Raw Data'!$E:$E,D$3))</f>
        <v/>
      </c>
      <c r="F119" s="7" t="str">
        <f>IF($A119="","",SUMIFS('Raw Data'!$F:$F,'Raw Data'!$A:$A,$A119,'Raw Data'!$E:$E,F$3))</f>
        <v/>
      </c>
      <c r="G119" s="8" t="str">
        <f>IF($A119="","",SUMIFS('Raw Data'!$J:$J,'Raw Data'!$A:$A,$A119,'Raw Data'!$E:$E,F$3))</f>
        <v/>
      </c>
      <c r="H119" s="7" t="str">
        <f>IF($A119="","",SUMIFS('Raw Data'!$F:$F,'Raw Data'!$A:$A,$A119,'Raw Data'!$E:$E,H$3))</f>
        <v/>
      </c>
      <c r="I119" s="8" t="str">
        <f>IF($A119="","",SUMIFS('Raw Data'!$J:$J,'Raw Data'!$A:$A,$A119,'Raw Data'!$E:$E,H$3))</f>
        <v/>
      </c>
      <c r="J119" s="9" t="str">
        <f t="shared" si="9"/>
        <v/>
      </c>
      <c r="K119" s="10" t="str">
        <f t="shared" si="10"/>
        <v/>
      </c>
      <c r="L119" s="5" t="str">
        <f t="shared" si="11"/>
        <v/>
      </c>
    </row>
    <row r="120" spans="1:12" x14ac:dyDescent="0.3">
      <c r="A120" s="6" t="str">
        <f>IFERROR(INDEX('Raw Data'!$A$2:$A$200,_xlfn.AGGREGATE(15,6,(ROW('Raw Data'!$A$2:$A$200)-ROW('Raw Data'!$A$2)+1)/((COUNTIF($A$4:A119,'Raw Data'!$A$2:$A$200)=0)*('Raw Data'!$A$2:$A$200&lt;&gt;"")),1)),"")</f>
        <v/>
      </c>
      <c r="B120" s="7" t="str">
        <f>IF($A120="","",SUMIFS('Raw Data'!$F:$F,'Raw Data'!$A:$A,$A120,'Raw Data'!$E:$E,B$3))</f>
        <v/>
      </c>
      <c r="C120" s="8" t="str">
        <f>IF($A120="","",SUMIFS('Raw Data'!$J:$J,'Raw Data'!$A:$A,$A120,'Raw Data'!$E:$E,B$3))</f>
        <v/>
      </c>
      <c r="D120" s="7" t="str">
        <f>IF($A120="","",SUMIFS('Raw Data'!$F:$F,'Raw Data'!$A:$A,$A120,'Raw Data'!$E:$E,D$3))</f>
        <v/>
      </c>
      <c r="E120" s="8" t="str">
        <f>IF($A120="","",SUMIFS('Raw Data'!$J:$J,'Raw Data'!$A:$A,$A120,'Raw Data'!$E:$E,D$3))</f>
        <v/>
      </c>
      <c r="F120" s="7" t="str">
        <f>IF($A120="","",SUMIFS('Raw Data'!$F:$F,'Raw Data'!$A:$A,$A120,'Raw Data'!$E:$E,F$3))</f>
        <v/>
      </c>
      <c r="G120" s="8" t="str">
        <f>IF($A120="","",SUMIFS('Raw Data'!$J:$J,'Raw Data'!$A:$A,$A120,'Raw Data'!$E:$E,F$3))</f>
        <v/>
      </c>
      <c r="H120" s="7" t="str">
        <f>IF($A120="","",SUMIFS('Raw Data'!$F:$F,'Raw Data'!$A:$A,$A120,'Raw Data'!$E:$E,H$3))</f>
        <v/>
      </c>
      <c r="I120" s="8" t="str">
        <f>IF($A120="","",SUMIFS('Raw Data'!$J:$J,'Raw Data'!$A:$A,$A120,'Raw Data'!$E:$E,H$3))</f>
        <v/>
      </c>
      <c r="J120" s="9" t="str">
        <f t="shared" si="9"/>
        <v/>
      </c>
      <c r="K120" s="10" t="str">
        <f t="shared" si="10"/>
        <v/>
      </c>
      <c r="L120" s="5" t="str">
        <f t="shared" si="11"/>
        <v/>
      </c>
    </row>
    <row r="121" spans="1:12" x14ac:dyDescent="0.3">
      <c r="A121" s="6" t="str">
        <f>IFERROR(INDEX('Raw Data'!$A$2:$A$200,_xlfn.AGGREGATE(15,6,(ROW('Raw Data'!$A$2:$A$200)-ROW('Raw Data'!$A$2)+1)/((COUNTIF($A$4:A120,'Raw Data'!$A$2:$A$200)=0)*('Raw Data'!$A$2:$A$200&lt;&gt;"")),1)),"")</f>
        <v/>
      </c>
      <c r="B121" s="7" t="str">
        <f>IF($A121="","",SUMIFS('Raw Data'!$F:$F,'Raw Data'!$A:$A,$A121,'Raw Data'!$E:$E,B$3))</f>
        <v/>
      </c>
      <c r="C121" s="8" t="str">
        <f>IF($A121="","",SUMIFS('Raw Data'!$J:$J,'Raw Data'!$A:$A,$A121,'Raw Data'!$E:$E,B$3))</f>
        <v/>
      </c>
      <c r="D121" s="7" t="str">
        <f>IF($A121="","",SUMIFS('Raw Data'!$F:$F,'Raw Data'!$A:$A,$A121,'Raw Data'!$E:$E,D$3))</f>
        <v/>
      </c>
      <c r="E121" s="8" t="str">
        <f>IF($A121="","",SUMIFS('Raw Data'!$J:$J,'Raw Data'!$A:$A,$A121,'Raw Data'!$E:$E,D$3))</f>
        <v/>
      </c>
      <c r="F121" s="7" t="str">
        <f>IF($A121="","",SUMIFS('Raw Data'!$F:$F,'Raw Data'!$A:$A,$A121,'Raw Data'!$E:$E,F$3))</f>
        <v/>
      </c>
      <c r="G121" s="8" t="str">
        <f>IF($A121="","",SUMIFS('Raw Data'!$J:$J,'Raw Data'!$A:$A,$A121,'Raw Data'!$E:$E,F$3))</f>
        <v/>
      </c>
      <c r="H121" s="7" t="str">
        <f>IF($A121="","",SUMIFS('Raw Data'!$F:$F,'Raw Data'!$A:$A,$A121,'Raw Data'!$E:$E,H$3))</f>
        <v/>
      </c>
      <c r="I121" s="8" t="str">
        <f>IF($A121="","",SUMIFS('Raw Data'!$J:$J,'Raw Data'!$A:$A,$A121,'Raw Data'!$E:$E,H$3))</f>
        <v/>
      </c>
      <c r="J121" s="9" t="str">
        <f t="shared" si="9"/>
        <v/>
      </c>
      <c r="K121" s="10" t="str">
        <f t="shared" si="10"/>
        <v/>
      </c>
      <c r="L121" s="5" t="str">
        <f t="shared" si="11"/>
        <v/>
      </c>
    </row>
    <row r="122" spans="1:12" x14ac:dyDescent="0.3">
      <c r="A122" s="6" t="str">
        <f>IFERROR(INDEX('Raw Data'!$A$2:$A$200,_xlfn.AGGREGATE(15,6,(ROW('Raw Data'!$A$2:$A$200)-ROW('Raw Data'!$A$2)+1)/((COUNTIF($A$4:A121,'Raw Data'!$A$2:$A$200)=0)*('Raw Data'!$A$2:$A$200&lt;&gt;"")),1)),"")</f>
        <v/>
      </c>
      <c r="B122" s="7" t="str">
        <f>IF($A122="","",SUMIFS('Raw Data'!$F:$F,'Raw Data'!$A:$A,$A122,'Raw Data'!$E:$E,B$3))</f>
        <v/>
      </c>
      <c r="C122" s="8" t="str">
        <f>IF($A122="","",SUMIFS('Raw Data'!$J:$J,'Raw Data'!$A:$A,$A122,'Raw Data'!$E:$E,B$3))</f>
        <v/>
      </c>
      <c r="D122" s="7" t="str">
        <f>IF($A122="","",SUMIFS('Raw Data'!$F:$F,'Raw Data'!$A:$A,$A122,'Raw Data'!$E:$E,D$3))</f>
        <v/>
      </c>
      <c r="E122" s="8" t="str">
        <f>IF($A122="","",SUMIFS('Raw Data'!$J:$J,'Raw Data'!$A:$A,$A122,'Raw Data'!$E:$E,D$3))</f>
        <v/>
      </c>
      <c r="F122" s="7" t="str">
        <f>IF($A122="","",SUMIFS('Raw Data'!$F:$F,'Raw Data'!$A:$A,$A122,'Raw Data'!$E:$E,F$3))</f>
        <v/>
      </c>
      <c r="G122" s="8" t="str">
        <f>IF($A122="","",SUMIFS('Raw Data'!$J:$J,'Raw Data'!$A:$A,$A122,'Raw Data'!$E:$E,F$3))</f>
        <v/>
      </c>
      <c r="H122" s="7" t="str">
        <f>IF($A122="","",SUMIFS('Raw Data'!$F:$F,'Raw Data'!$A:$A,$A122,'Raw Data'!$E:$E,H$3))</f>
        <v/>
      </c>
      <c r="I122" s="8" t="str">
        <f>IF($A122="","",SUMIFS('Raw Data'!$J:$J,'Raw Data'!$A:$A,$A122,'Raw Data'!$E:$E,H$3))</f>
        <v/>
      </c>
      <c r="J122" s="9" t="str">
        <f t="shared" si="9"/>
        <v/>
      </c>
      <c r="K122" s="10" t="str">
        <f t="shared" si="10"/>
        <v/>
      </c>
      <c r="L122" s="5" t="str">
        <f t="shared" si="11"/>
        <v/>
      </c>
    </row>
    <row r="123" spans="1:12" x14ac:dyDescent="0.3">
      <c r="A123" s="6" t="str">
        <f>IFERROR(INDEX('Raw Data'!$A$2:$A$200,_xlfn.AGGREGATE(15,6,(ROW('Raw Data'!$A$2:$A$200)-ROW('Raw Data'!$A$2)+1)/((COUNTIF($A$4:A122,'Raw Data'!$A$2:$A$200)=0)*('Raw Data'!$A$2:$A$200&lt;&gt;"")),1)),"")</f>
        <v/>
      </c>
      <c r="B123" s="7" t="str">
        <f>IF($A123="","",SUMIFS('Raw Data'!$F:$F,'Raw Data'!$A:$A,$A123,'Raw Data'!$E:$E,B$3))</f>
        <v/>
      </c>
      <c r="C123" s="8" t="str">
        <f>IF($A123="","",SUMIFS('Raw Data'!$J:$J,'Raw Data'!$A:$A,$A123,'Raw Data'!$E:$E,B$3))</f>
        <v/>
      </c>
      <c r="D123" s="7" t="str">
        <f>IF($A123="","",SUMIFS('Raw Data'!$F:$F,'Raw Data'!$A:$A,$A123,'Raw Data'!$E:$E,D$3))</f>
        <v/>
      </c>
      <c r="E123" s="8" t="str">
        <f>IF($A123="","",SUMIFS('Raw Data'!$J:$J,'Raw Data'!$A:$A,$A123,'Raw Data'!$E:$E,D$3))</f>
        <v/>
      </c>
      <c r="F123" s="7" t="str">
        <f>IF($A123="","",SUMIFS('Raw Data'!$F:$F,'Raw Data'!$A:$A,$A123,'Raw Data'!$E:$E,F$3))</f>
        <v/>
      </c>
      <c r="G123" s="8" t="str">
        <f>IF($A123="","",SUMIFS('Raw Data'!$J:$J,'Raw Data'!$A:$A,$A123,'Raw Data'!$E:$E,F$3))</f>
        <v/>
      </c>
      <c r="H123" s="7" t="str">
        <f>IF($A123="","",SUMIFS('Raw Data'!$F:$F,'Raw Data'!$A:$A,$A123,'Raw Data'!$E:$E,H$3))</f>
        <v/>
      </c>
      <c r="I123" s="8" t="str">
        <f>IF($A123="","",SUMIFS('Raw Data'!$J:$J,'Raw Data'!$A:$A,$A123,'Raw Data'!$E:$E,H$3))</f>
        <v/>
      </c>
      <c r="J123" s="9" t="str">
        <f t="shared" si="9"/>
        <v/>
      </c>
      <c r="K123" s="10" t="str">
        <f t="shared" si="10"/>
        <v/>
      </c>
      <c r="L123" s="5" t="str">
        <f t="shared" si="11"/>
        <v/>
      </c>
    </row>
    <row r="124" spans="1:12" x14ac:dyDescent="0.3">
      <c r="A124" s="6" t="str">
        <f>IFERROR(INDEX('Raw Data'!$A$2:$A$200,_xlfn.AGGREGATE(15,6,(ROW('Raw Data'!$A$2:$A$200)-ROW('Raw Data'!$A$2)+1)/((COUNTIF($A$4:A123,'Raw Data'!$A$2:$A$200)=0)*('Raw Data'!$A$2:$A$200&lt;&gt;"")),1)),"")</f>
        <v/>
      </c>
      <c r="B124" s="7" t="str">
        <f>IF($A124="","",SUMIFS('Raw Data'!$F:$F,'Raw Data'!$A:$A,$A124,'Raw Data'!$E:$E,B$3))</f>
        <v/>
      </c>
      <c r="C124" s="8" t="str">
        <f>IF($A124="","",SUMIFS('Raw Data'!$J:$J,'Raw Data'!$A:$A,$A124,'Raw Data'!$E:$E,B$3))</f>
        <v/>
      </c>
      <c r="D124" s="7" t="str">
        <f>IF($A124="","",SUMIFS('Raw Data'!$F:$F,'Raw Data'!$A:$A,$A124,'Raw Data'!$E:$E,D$3))</f>
        <v/>
      </c>
      <c r="E124" s="8" t="str">
        <f>IF($A124="","",SUMIFS('Raw Data'!$J:$J,'Raw Data'!$A:$A,$A124,'Raw Data'!$E:$E,D$3))</f>
        <v/>
      </c>
      <c r="F124" s="7" t="str">
        <f>IF($A124="","",SUMIFS('Raw Data'!$F:$F,'Raw Data'!$A:$A,$A124,'Raw Data'!$E:$E,F$3))</f>
        <v/>
      </c>
      <c r="G124" s="8" t="str">
        <f>IF($A124="","",SUMIFS('Raw Data'!$J:$J,'Raw Data'!$A:$A,$A124,'Raw Data'!$E:$E,F$3))</f>
        <v/>
      </c>
      <c r="H124" s="7" t="str">
        <f>IF($A124="","",SUMIFS('Raw Data'!$F:$F,'Raw Data'!$A:$A,$A124,'Raw Data'!$E:$E,H$3))</f>
        <v/>
      </c>
      <c r="I124" s="8" t="str">
        <f>IF($A124="","",SUMIFS('Raw Data'!$J:$J,'Raw Data'!$A:$A,$A124,'Raw Data'!$E:$E,H$3))</f>
        <v/>
      </c>
      <c r="J124" s="9" t="str">
        <f t="shared" si="9"/>
        <v/>
      </c>
      <c r="K124" s="10" t="str">
        <f t="shared" si="10"/>
        <v/>
      </c>
      <c r="L124" s="5" t="str">
        <f t="shared" si="11"/>
        <v/>
      </c>
    </row>
    <row r="125" spans="1:12" x14ac:dyDescent="0.3">
      <c r="A125" s="6" t="str">
        <f>IFERROR(INDEX('Raw Data'!$A$2:$A$200,_xlfn.AGGREGATE(15,6,(ROW('Raw Data'!$A$2:$A$200)-ROW('Raw Data'!$A$2)+1)/((COUNTIF($A$4:A124,'Raw Data'!$A$2:$A$200)=0)*('Raw Data'!$A$2:$A$200&lt;&gt;"")),1)),"")</f>
        <v/>
      </c>
      <c r="B125" s="7" t="str">
        <f>IF($A125="","",SUMIFS('Raw Data'!$F:$F,'Raw Data'!$A:$A,$A125,'Raw Data'!$E:$E,B$3))</f>
        <v/>
      </c>
      <c r="C125" s="8" t="str">
        <f>IF($A125="","",SUMIFS('Raw Data'!$J:$J,'Raw Data'!$A:$A,$A125,'Raw Data'!$E:$E,B$3))</f>
        <v/>
      </c>
      <c r="D125" s="7" t="str">
        <f>IF($A125="","",SUMIFS('Raw Data'!$F:$F,'Raw Data'!$A:$A,$A125,'Raw Data'!$E:$E,D$3))</f>
        <v/>
      </c>
      <c r="E125" s="8" t="str">
        <f>IF($A125="","",SUMIFS('Raw Data'!$J:$J,'Raw Data'!$A:$A,$A125,'Raw Data'!$E:$E,D$3))</f>
        <v/>
      </c>
      <c r="F125" s="7" t="str">
        <f>IF($A125="","",SUMIFS('Raw Data'!$F:$F,'Raw Data'!$A:$A,$A125,'Raw Data'!$E:$E,F$3))</f>
        <v/>
      </c>
      <c r="G125" s="8" t="str">
        <f>IF($A125="","",SUMIFS('Raw Data'!$J:$J,'Raw Data'!$A:$A,$A125,'Raw Data'!$E:$E,F$3))</f>
        <v/>
      </c>
      <c r="H125" s="7" t="str">
        <f>IF($A125="","",SUMIFS('Raw Data'!$F:$F,'Raw Data'!$A:$A,$A125,'Raw Data'!$E:$E,H$3))</f>
        <v/>
      </c>
      <c r="I125" s="8" t="str">
        <f>IF($A125="","",SUMIFS('Raw Data'!$J:$J,'Raw Data'!$A:$A,$A125,'Raw Data'!$E:$E,H$3))</f>
        <v/>
      </c>
      <c r="J125" s="9" t="str">
        <f t="shared" si="9"/>
        <v/>
      </c>
      <c r="K125" s="10" t="str">
        <f t="shared" si="10"/>
        <v/>
      </c>
      <c r="L125" s="5" t="str">
        <f t="shared" si="11"/>
        <v/>
      </c>
    </row>
    <row r="126" spans="1:12" x14ac:dyDescent="0.3">
      <c r="A126" s="6" t="str">
        <f>IFERROR(INDEX('Raw Data'!$A$2:$A$200,_xlfn.AGGREGATE(15,6,(ROW('Raw Data'!$A$2:$A$200)-ROW('Raw Data'!$A$2)+1)/((COUNTIF($A$4:A125,'Raw Data'!$A$2:$A$200)=0)*('Raw Data'!$A$2:$A$200&lt;&gt;"")),1)),"")</f>
        <v/>
      </c>
      <c r="B126" s="7" t="str">
        <f>IF($A126="","",SUMIFS('Raw Data'!$F:$F,'Raw Data'!$A:$A,$A126,'Raw Data'!$E:$E,B$3))</f>
        <v/>
      </c>
      <c r="C126" s="8" t="str">
        <f>IF($A126="","",SUMIFS('Raw Data'!$J:$J,'Raw Data'!$A:$A,$A126,'Raw Data'!$E:$E,B$3))</f>
        <v/>
      </c>
      <c r="D126" s="7" t="str">
        <f>IF($A126="","",SUMIFS('Raw Data'!$F:$F,'Raw Data'!$A:$A,$A126,'Raw Data'!$E:$E,D$3))</f>
        <v/>
      </c>
      <c r="E126" s="8" t="str">
        <f>IF($A126="","",SUMIFS('Raw Data'!$J:$J,'Raw Data'!$A:$A,$A126,'Raw Data'!$E:$E,D$3))</f>
        <v/>
      </c>
      <c r="F126" s="7" t="str">
        <f>IF($A126="","",SUMIFS('Raw Data'!$F:$F,'Raw Data'!$A:$A,$A126,'Raw Data'!$E:$E,F$3))</f>
        <v/>
      </c>
      <c r="G126" s="8" t="str">
        <f>IF($A126="","",SUMIFS('Raw Data'!$J:$J,'Raw Data'!$A:$A,$A126,'Raw Data'!$E:$E,F$3))</f>
        <v/>
      </c>
      <c r="H126" s="7" t="str">
        <f>IF($A126="","",SUMIFS('Raw Data'!$F:$F,'Raw Data'!$A:$A,$A126,'Raw Data'!$E:$E,H$3))</f>
        <v/>
      </c>
      <c r="I126" s="8" t="str">
        <f>IF($A126="","",SUMIFS('Raw Data'!$J:$J,'Raw Data'!$A:$A,$A126,'Raw Data'!$E:$E,H$3))</f>
        <v/>
      </c>
      <c r="J126" s="9" t="str">
        <f t="shared" si="9"/>
        <v/>
      </c>
      <c r="K126" s="10" t="str">
        <f t="shared" si="10"/>
        <v/>
      </c>
      <c r="L126" s="5" t="str">
        <f t="shared" si="11"/>
        <v/>
      </c>
    </row>
    <row r="127" spans="1:12" x14ac:dyDescent="0.3">
      <c r="A127" s="6" t="str">
        <f>IFERROR(INDEX('Raw Data'!$A$2:$A$200,_xlfn.AGGREGATE(15,6,(ROW('Raw Data'!$A$2:$A$200)-ROW('Raw Data'!$A$2)+1)/((COUNTIF($A$4:A126,'Raw Data'!$A$2:$A$200)=0)*('Raw Data'!$A$2:$A$200&lt;&gt;"")),1)),"")</f>
        <v/>
      </c>
      <c r="B127" s="7" t="str">
        <f>IF($A127="","",SUMIFS('Raw Data'!$F:$F,'Raw Data'!$A:$A,$A127,'Raw Data'!$E:$E,B$3))</f>
        <v/>
      </c>
      <c r="C127" s="8" t="str">
        <f>IF($A127="","",SUMIFS('Raw Data'!$J:$J,'Raw Data'!$A:$A,$A127,'Raw Data'!$E:$E,B$3))</f>
        <v/>
      </c>
      <c r="D127" s="7" t="str">
        <f>IF($A127="","",SUMIFS('Raw Data'!$F:$F,'Raw Data'!$A:$A,$A127,'Raw Data'!$E:$E,D$3))</f>
        <v/>
      </c>
      <c r="E127" s="8" t="str">
        <f>IF($A127="","",SUMIFS('Raw Data'!$J:$J,'Raw Data'!$A:$A,$A127,'Raw Data'!$E:$E,D$3))</f>
        <v/>
      </c>
      <c r="F127" s="7" t="str">
        <f>IF($A127="","",SUMIFS('Raw Data'!$F:$F,'Raw Data'!$A:$A,$A127,'Raw Data'!$E:$E,F$3))</f>
        <v/>
      </c>
      <c r="G127" s="8" t="str">
        <f>IF($A127="","",SUMIFS('Raw Data'!$J:$J,'Raw Data'!$A:$A,$A127,'Raw Data'!$E:$E,F$3))</f>
        <v/>
      </c>
      <c r="H127" s="7" t="str">
        <f>IF($A127="","",SUMIFS('Raw Data'!$F:$F,'Raw Data'!$A:$A,$A127,'Raw Data'!$E:$E,H$3))</f>
        <v/>
      </c>
      <c r="I127" s="8" t="str">
        <f>IF($A127="","",SUMIFS('Raw Data'!$J:$J,'Raw Data'!$A:$A,$A127,'Raw Data'!$E:$E,H$3))</f>
        <v/>
      </c>
      <c r="J127" s="9" t="str">
        <f t="shared" si="9"/>
        <v/>
      </c>
      <c r="K127" s="10" t="str">
        <f t="shared" si="10"/>
        <v/>
      </c>
      <c r="L127" s="5" t="str">
        <f t="shared" si="11"/>
        <v/>
      </c>
    </row>
    <row r="128" spans="1:12" x14ac:dyDescent="0.3">
      <c r="A128" s="6" t="str">
        <f>IFERROR(INDEX('Raw Data'!$A$2:$A$200,_xlfn.AGGREGATE(15,6,(ROW('Raw Data'!$A$2:$A$200)-ROW('Raw Data'!$A$2)+1)/((COUNTIF($A$4:A127,'Raw Data'!$A$2:$A$200)=0)*('Raw Data'!$A$2:$A$200&lt;&gt;"")),1)),"")</f>
        <v/>
      </c>
      <c r="B128" s="7" t="str">
        <f>IF($A128="","",SUMIFS('Raw Data'!$F:$F,'Raw Data'!$A:$A,$A128,'Raw Data'!$E:$E,B$3))</f>
        <v/>
      </c>
      <c r="C128" s="8" t="str">
        <f>IF($A128="","",SUMIFS('Raw Data'!$J:$J,'Raw Data'!$A:$A,$A128,'Raw Data'!$E:$E,B$3))</f>
        <v/>
      </c>
      <c r="D128" s="7" t="str">
        <f>IF($A128="","",SUMIFS('Raw Data'!$F:$F,'Raw Data'!$A:$A,$A128,'Raw Data'!$E:$E,D$3))</f>
        <v/>
      </c>
      <c r="E128" s="8" t="str">
        <f>IF($A128="","",SUMIFS('Raw Data'!$J:$J,'Raw Data'!$A:$A,$A128,'Raw Data'!$E:$E,D$3))</f>
        <v/>
      </c>
      <c r="F128" s="7" t="str">
        <f>IF($A128="","",SUMIFS('Raw Data'!$F:$F,'Raw Data'!$A:$A,$A128,'Raw Data'!$E:$E,F$3))</f>
        <v/>
      </c>
      <c r="G128" s="8" t="str">
        <f>IF($A128="","",SUMIFS('Raw Data'!$J:$J,'Raw Data'!$A:$A,$A128,'Raw Data'!$E:$E,F$3))</f>
        <v/>
      </c>
      <c r="H128" s="7" t="str">
        <f>IF($A128="","",SUMIFS('Raw Data'!$F:$F,'Raw Data'!$A:$A,$A128,'Raw Data'!$E:$E,H$3))</f>
        <v/>
      </c>
      <c r="I128" s="8" t="str">
        <f>IF($A128="","",SUMIFS('Raw Data'!$J:$J,'Raw Data'!$A:$A,$A128,'Raw Data'!$E:$E,H$3))</f>
        <v/>
      </c>
      <c r="J128" s="9" t="str">
        <f t="shared" si="9"/>
        <v/>
      </c>
      <c r="K128" s="10" t="str">
        <f t="shared" si="10"/>
        <v/>
      </c>
      <c r="L128" s="5" t="str">
        <f t="shared" si="11"/>
        <v/>
      </c>
    </row>
    <row r="129" spans="1:12" x14ac:dyDescent="0.3">
      <c r="A129" s="6" t="str">
        <f>IFERROR(INDEX('Raw Data'!$A$2:$A$200,_xlfn.AGGREGATE(15,6,(ROW('Raw Data'!$A$2:$A$200)-ROW('Raw Data'!$A$2)+1)/((COUNTIF($A$4:A128,'Raw Data'!$A$2:$A$200)=0)*('Raw Data'!$A$2:$A$200&lt;&gt;"")),1)),"")</f>
        <v/>
      </c>
      <c r="B129" s="7" t="str">
        <f>IF($A129="","",SUMIFS('Raw Data'!$F:$F,'Raw Data'!$A:$A,$A129,'Raw Data'!$E:$E,B$3))</f>
        <v/>
      </c>
      <c r="C129" s="8" t="str">
        <f>IF($A129="","",SUMIFS('Raw Data'!$J:$J,'Raw Data'!$A:$A,$A129,'Raw Data'!$E:$E,B$3))</f>
        <v/>
      </c>
      <c r="D129" s="7" t="str">
        <f>IF($A129="","",SUMIFS('Raw Data'!$F:$F,'Raw Data'!$A:$A,$A129,'Raw Data'!$E:$E,D$3))</f>
        <v/>
      </c>
      <c r="E129" s="8" t="str">
        <f>IF($A129="","",SUMIFS('Raw Data'!$J:$J,'Raw Data'!$A:$A,$A129,'Raw Data'!$E:$E,D$3))</f>
        <v/>
      </c>
      <c r="F129" s="7" t="str">
        <f>IF($A129="","",SUMIFS('Raw Data'!$F:$F,'Raw Data'!$A:$A,$A129,'Raw Data'!$E:$E,F$3))</f>
        <v/>
      </c>
      <c r="G129" s="8" t="str">
        <f>IF($A129="","",SUMIFS('Raw Data'!$J:$J,'Raw Data'!$A:$A,$A129,'Raw Data'!$E:$E,F$3))</f>
        <v/>
      </c>
      <c r="H129" s="7" t="str">
        <f>IF($A129="","",SUMIFS('Raw Data'!$F:$F,'Raw Data'!$A:$A,$A129,'Raw Data'!$E:$E,H$3))</f>
        <v/>
      </c>
      <c r="I129" s="8" t="str">
        <f>IF($A129="","",SUMIFS('Raw Data'!$J:$J,'Raw Data'!$A:$A,$A129,'Raw Data'!$E:$E,H$3))</f>
        <v/>
      </c>
      <c r="J129" s="9" t="str">
        <f t="shared" si="9"/>
        <v/>
      </c>
      <c r="K129" s="10" t="str">
        <f t="shared" si="10"/>
        <v/>
      </c>
      <c r="L129" s="5" t="str">
        <f t="shared" si="11"/>
        <v/>
      </c>
    </row>
    <row r="130" spans="1:12" x14ac:dyDescent="0.3">
      <c r="A130" s="6" t="str">
        <f>IFERROR(INDEX('Raw Data'!$A$2:$A$200,_xlfn.AGGREGATE(15,6,(ROW('Raw Data'!$A$2:$A$200)-ROW('Raw Data'!$A$2)+1)/((COUNTIF($A$4:A129,'Raw Data'!$A$2:$A$200)=0)*('Raw Data'!$A$2:$A$200&lt;&gt;"")),1)),"")</f>
        <v/>
      </c>
      <c r="B130" s="7" t="str">
        <f>IF($A130="","",SUMIFS('Raw Data'!$F:$F,'Raw Data'!$A:$A,$A130,'Raw Data'!$E:$E,B$3))</f>
        <v/>
      </c>
      <c r="C130" s="8" t="str">
        <f>IF($A130="","",SUMIFS('Raw Data'!$J:$J,'Raw Data'!$A:$A,$A130,'Raw Data'!$E:$E,B$3))</f>
        <v/>
      </c>
      <c r="D130" s="7" t="str">
        <f>IF($A130="","",SUMIFS('Raw Data'!$F:$F,'Raw Data'!$A:$A,$A130,'Raw Data'!$E:$E,D$3))</f>
        <v/>
      </c>
      <c r="E130" s="8" t="str">
        <f>IF($A130="","",SUMIFS('Raw Data'!$J:$J,'Raw Data'!$A:$A,$A130,'Raw Data'!$E:$E,D$3))</f>
        <v/>
      </c>
      <c r="F130" s="7" t="str">
        <f>IF($A130="","",SUMIFS('Raw Data'!$F:$F,'Raw Data'!$A:$A,$A130,'Raw Data'!$E:$E,F$3))</f>
        <v/>
      </c>
      <c r="G130" s="8" t="str">
        <f>IF($A130="","",SUMIFS('Raw Data'!$J:$J,'Raw Data'!$A:$A,$A130,'Raw Data'!$E:$E,F$3))</f>
        <v/>
      </c>
      <c r="H130" s="7" t="str">
        <f>IF($A130="","",SUMIFS('Raw Data'!$F:$F,'Raw Data'!$A:$A,$A130,'Raw Data'!$E:$E,H$3))</f>
        <v/>
      </c>
      <c r="I130" s="8" t="str">
        <f>IF($A130="","",SUMIFS('Raw Data'!$J:$J,'Raw Data'!$A:$A,$A130,'Raw Data'!$E:$E,H$3))</f>
        <v/>
      </c>
      <c r="J130" s="9" t="str">
        <f t="shared" si="9"/>
        <v/>
      </c>
      <c r="K130" s="10" t="str">
        <f t="shared" si="10"/>
        <v/>
      </c>
      <c r="L130" s="5" t="str">
        <f t="shared" si="11"/>
        <v/>
      </c>
    </row>
    <row r="131" spans="1:12" x14ac:dyDescent="0.3">
      <c r="A131" s="6" t="str">
        <f>IFERROR(INDEX('Raw Data'!$A$2:$A$200,_xlfn.AGGREGATE(15,6,(ROW('Raw Data'!$A$2:$A$200)-ROW('Raw Data'!$A$2)+1)/((COUNTIF($A$4:A130,'Raw Data'!$A$2:$A$200)=0)*('Raw Data'!$A$2:$A$200&lt;&gt;"")),1)),"")</f>
        <v/>
      </c>
      <c r="B131" s="7" t="str">
        <f>IF($A131="","",SUMIFS('Raw Data'!$F:$F,'Raw Data'!$A:$A,$A131,'Raw Data'!$E:$E,B$3))</f>
        <v/>
      </c>
      <c r="C131" s="8" t="str">
        <f>IF($A131="","",SUMIFS('Raw Data'!$J:$J,'Raw Data'!$A:$A,$A131,'Raw Data'!$E:$E,B$3))</f>
        <v/>
      </c>
      <c r="D131" s="7" t="str">
        <f>IF($A131="","",SUMIFS('Raw Data'!$F:$F,'Raw Data'!$A:$A,$A131,'Raw Data'!$E:$E,D$3))</f>
        <v/>
      </c>
      <c r="E131" s="8" t="str">
        <f>IF($A131="","",SUMIFS('Raw Data'!$J:$J,'Raw Data'!$A:$A,$A131,'Raw Data'!$E:$E,D$3))</f>
        <v/>
      </c>
      <c r="F131" s="7" t="str">
        <f>IF($A131="","",SUMIFS('Raw Data'!$F:$F,'Raw Data'!$A:$A,$A131,'Raw Data'!$E:$E,F$3))</f>
        <v/>
      </c>
      <c r="G131" s="8" t="str">
        <f>IF($A131="","",SUMIFS('Raw Data'!$J:$J,'Raw Data'!$A:$A,$A131,'Raw Data'!$E:$E,F$3))</f>
        <v/>
      </c>
      <c r="H131" s="7" t="str">
        <f>IF($A131="","",SUMIFS('Raw Data'!$F:$F,'Raw Data'!$A:$A,$A131,'Raw Data'!$E:$E,H$3))</f>
        <v/>
      </c>
      <c r="I131" s="8" t="str">
        <f>IF($A131="","",SUMIFS('Raw Data'!$J:$J,'Raw Data'!$A:$A,$A131,'Raw Data'!$E:$E,H$3))</f>
        <v/>
      </c>
      <c r="J131" s="9" t="str">
        <f t="shared" si="9"/>
        <v/>
      </c>
      <c r="K131" s="10" t="str">
        <f t="shared" si="10"/>
        <v/>
      </c>
      <c r="L131" s="5" t="str">
        <f t="shared" si="11"/>
        <v/>
      </c>
    </row>
    <row r="132" spans="1:12" x14ac:dyDescent="0.3">
      <c r="A132" s="6" t="str">
        <f>IFERROR(INDEX('Raw Data'!$A$2:$A$200,_xlfn.AGGREGATE(15,6,(ROW('Raw Data'!$A$2:$A$200)-ROW('Raw Data'!$A$2)+1)/((COUNTIF($A$4:A131,'Raw Data'!$A$2:$A$200)=0)*('Raw Data'!$A$2:$A$200&lt;&gt;"")),1)),"")</f>
        <v/>
      </c>
      <c r="B132" s="7" t="str">
        <f>IF($A132="","",SUMIFS('Raw Data'!$F:$F,'Raw Data'!$A:$A,$A132,'Raw Data'!$E:$E,B$3))</f>
        <v/>
      </c>
      <c r="C132" s="8" t="str">
        <f>IF($A132="","",SUMIFS('Raw Data'!$J:$J,'Raw Data'!$A:$A,$A132,'Raw Data'!$E:$E,B$3))</f>
        <v/>
      </c>
      <c r="D132" s="7" t="str">
        <f>IF($A132="","",SUMIFS('Raw Data'!$F:$F,'Raw Data'!$A:$A,$A132,'Raw Data'!$E:$E,D$3))</f>
        <v/>
      </c>
      <c r="E132" s="8" t="str">
        <f>IF($A132="","",SUMIFS('Raw Data'!$J:$J,'Raw Data'!$A:$A,$A132,'Raw Data'!$E:$E,D$3))</f>
        <v/>
      </c>
      <c r="F132" s="7" t="str">
        <f>IF($A132="","",SUMIFS('Raw Data'!$F:$F,'Raw Data'!$A:$A,$A132,'Raw Data'!$E:$E,F$3))</f>
        <v/>
      </c>
      <c r="G132" s="8" t="str">
        <f>IF($A132="","",SUMIFS('Raw Data'!$J:$J,'Raw Data'!$A:$A,$A132,'Raw Data'!$E:$E,F$3))</f>
        <v/>
      </c>
      <c r="H132" s="7" t="str">
        <f>IF($A132="","",SUMIFS('Raw Data'!$F:$F,'Raw Data'!$A:$A,$A132,'Raw Data'!$E:$E,H$3))</f>
        <v/>
      </c>
      <c r="I132" s="8" t="str">
        <f>IF($A132="","",SUMIFS('Raw Data'!$J:$J,'Raw Data'!$A:$A,$A132,'Raw Data'!$E:$E,H$3))</f>
        <v/>
      </c>
      <c r="J132" s="9" t="str">
        <f t="shared" si="9"/>
        <v/>
      </c>
      <c r="K132" s="10" t="str">
        <f t="shared" si="10"/>
        <v/>
      </c>
      <c r="L132" s="5" t="str">
        <f t="shared" si="11"/>
        <v/>
      </c>
    </row>
    <row r="133" spans="1:12" x14ac:dyDescent="0.3">
      <c r="A133" s="6" t="str">
        <f>IFERROR(INDEX('Raw Data'!$A$2:$A$200,_xlfn.AGGREGATE(15,6,(ROW('Raw Data'!$A$2:$A$200)-ROW('Raw Data'!$A$2)+1)/((COUNTIF($A$4:A132,'Raw Data'!$A$2:$A$200)=0)*('Raw Data'!$A$2:$A$200&lt;&gt;"")),1)),"")</f>
        <v/>
      </c>
      <c r="B133" s="7" t="str">
        <f>IF($A133="","",SUMIFS('Raw Data'!$F:$F,'Raw Data'!$A:$A,$A133,'Raw Data'!$E:$E,B$3))</f>
        <v/>
      </c>
      <c r="C133" s="8" t="str">
        <f>IF($A133="","",SUMIFS('Raw Data'!$J:$J,'Raw Data'!$A:$A,$A133,'Raw Data'!$E:$E,B$3))</f>
        <v/>
      </c>
      <c r="D133" s="7" t="str">
        <f>IF($A133="","",SUMIFS('Raw Data'!$F:$F,'Raw Data'!$A:$A,$A133,'Raw Data'!$E:$E,D$3))</f>
        <v/>
      </c>
      <c r="E133" s="8" t="str">
        <f>IF($A133="","",SUMIFS('Raw Data'!$J:$J,'Raw Data'!$A:$A,$A133,'Raw Data'!$E:$E,D$3))</f>
        <v/>
      </c>
      <c r="F133" s="7" t="str">
        <f>IF($A133="","",SUMIFS('Raw Data'!$F:$F,'Raw Data'!$A:$A,$A133,'Raw Data'!$E:$E,F$3))</f>
        <v/>
      </c>
      <c r="G133" s="8" t="str">
        <f>IF($A133="","",SUMIFS('Raw Data'!$J:$J,'Raw Data'!$A:$A,$A133,'Raw Data'!$E:$E,F$3))</f>
        <v/>
      </c>
      <c r="H133" s="7" t="str">
        <f>IF($A133="","",SUMIFS('Raw Data'!$F:$F,'Raw Data'!$A:$A,$A133,'Raw Data'!$E:$E,H$3))</f>
        <v/>
      </c>
      <c r="I133" s="8" t="str">
        <f>IF($A133="","",SUMIFS('Raw Data'!$J:$J,'Raw Data'!$A:$A,$A133,'Raw Data'!$E:$E,H$3))</f>
        <v/>
      </c>
      <c r="J133" s="9" t="str">
        <f t="shared" ref="J133:J164" si="12">IF($A133="","",B133+D133+F133+H133)</f>
        <v/>
      </c>
      <c r="K133" s="10" t="str">
        <f t="shared" ref="K133:K164" si="13">IF($A133="","",C133+E133+G133+I133)</f>
        <v/>
      </c>
      <c r="L133" s="5" t="str">
        <f t="shared" ref="L133:L164" si="14">IF($A133="","",J133+K133)</f>
        <v/>
      </c>
    </row>
    <row r="134" spans="1:12" x14ac:dyDescent="0.3">
      <c r="A134" s="6" t="str">
        <f>IFERROR(INDEX('Raw Data'!$A$2:$A$200,_xlfn.AGGREGATE(15,6,(ROW('Raw Data'!$A$2:$A$200)-ROW('Raw Data'!$A$2)+1)/((COUNTIF($A$4:A133,'Raw Data'!$A$2:$A$200)=0)*('Raw Data'!$A$2:$A$200&lt;&gt;"")),1)),"")</f>
        <v/>
      </c>
      <c r="B134" s="7" t="str">
        <f>IF($A134="","",SUMIFS('Raw Data'!$F:$F,'Raw Data'!$A:$A,$A134,'Raw Data'!$E:$E,B$3))</f>
        <v/>
      </c>
      <c r="C134" s="8" t="str">
        <f>IF($A134="","",SUMIFS('Raw Data'!$J:$J,'Raw Data'!$A:$A,$A134,'Raw Data'!$E:$E,B$3))</f>
        <v/>
      </c>
      <c r="D134" s="7" t="str">
        <f>IF($A134="","",SUMIFS('Raw Data'!$F:$F,'Raw Data'!$A:$A,$A134,'Raw Data'!$E:$E,D$3))</f>
        <v/>
      </c>
      <c r="E134" s="8" t="str">
        <f>IF($A134="","",SUMIFS('Raw Data'!$J:$J,'Raw Data'!$A:$A,$A134,'Raw Data'!$E:$E,D$3))</f>
        <v/>
      </c>
      <c r="F134" s="7" t="str">
        <f>IF($A134="","",SUMIFS('Raw Data'!$F:$F,'Raw Data'!$A:$A,$A134,'Raw Data'!$E:$E,F$3))</f>
        <v/>
      </c>
      <c r="G134" s="8" t="str">
        <f>IF($A134="","",SUMIFS('Raw Data'!$J:$J,'Raw Data'!$A:$A,$A134,'Raw Data'!$E:$E,F$3))</f>
        <v/>
      </c>
      <c r="H134" s="7" t="str">
        <f>IF($A134="","",SUMIFS('Raw Data'!$F:$F,'Raw Data'!$A:$A,$A134,'Raw Data'!$E:$E,H$3))</f>
        <v/>
      </c>
      <c r="I134" s="8" t="str">
        <f>IF($A134="","",SUMIFS('Raw Data'!$J:$J,'Raw Data'!$A:$A,$A134,'Raw Data'!$E:$E,H$3))</f>
        <v/>
      </c>
      <c r="J134" s="9" t="str">
        <f t="shared" si="12"/>
        <v/>
      </c>
      <c r="K134" s="10" t="str">
        <f t="shared" si="13"/>
        <v/>
      </c>
      <c r="L134" s="5" t="str">
        <f t="shared" si="14"/>
        <v/>
      </c>
    </row>
    <row r="135" spans="1:12" x14ac:dyDescent="0.3">
      <c r="A135" s="6" t="str">
        <f>IFERROR(INDEX('Raw Data'!$A$2:$A$200,_xlfn.AGGREGATE(15,6,(ROW('Raw Data'!$A$2:$A$200)-ROW('Raw Data'!$A$2)+1)/((COUNTIF($A$4:A134,'Raw Data'!$A$2:$A$200)=0)*('Raw Data'!$A$2:$A$200&lt;&gt;"")),1)),"")</f>
        <v/>
      </c>
      <c r="B135" s="7" t="str">
        <f>IF($A135="","",SUMIFS('Raw Data'!$F:$F,'Raw Data'!$A:$A,$A135,'Raw Data'!$E:$E,B$3))</f>
        <v/>
      </c>
      <c r="C135" s="8" t="str">
        <f>IF($A135="","",SUMIFS('Raw Data'!$J:$J,'Raw Data'!$A:$A,$A135,'Raw Data'!$E:$E,B$3))</f>
        <v/>
      </c>
      <c r="D135" s="7" t="str">
        <f>IF($A135="","",SUMIFS('Raw Data'!$F:$F,'Raw Data'!$A:$A,$A135,'Raw Data'!$E:$E,D$3))</f>
        <v/>
      </c>
      <c r="E135" s="8" t="str">
        <f>IF($A135="","",SUMIFS('Raw Data'!$J:$J,'Raw Data'!$A:$A,$A135,'Raw Data'!$E:$E,D$3))</f>
        <v/>
      </c>
      <c r="F135" s="7" t="str">
        <f>IF($A135="","",SUMIFS('Raw Data'!$F:$F,'Raw Data'!$A:$A,$A135,'Raw Data'!$E:$E,F$3))</f>
        <v/>
      </c>
      <c r="G135" s="8" t="str">
        <f>IF($A135="","",SUMIFS('Raw Data'!$J:$J,'Raw Data'!$A:$A,$A135,'Raw Data'!$E:$E,F$3))</f>
        <v/>
      </c>
      <c r="H135" s="7" t="str">
        <f>IF($A135="","",SUMIFS('Raw Data'!$F:$F,'Raw Data'!$A:$A,$A135,'Raw Data'!$E:$E,H$3))</f>
        <v/>
      </c>
      <c r="I135" s="8" t="str">
        <f>IF($A135="","",SUMIFS('Raw Data'!$J:$J,'Raw Data'!$A:$A,$A135,'Raw Data'!$E:$E,H$3))</f>
        <v/>
      </c>
      <c r="J135" s="9" t="str">
        <f t="shared" si="12"/>
        <v/>
      </c>
      <c r="K135" s="10" t="str">
        <f t="shared" si="13"/>
        <v/>
      </c>
      <c r="L135" s="5" t="str">
        <f t="shared" si="14"/>
        <v/>
      </c>
    </row>
    <row r="136" spans="1:12" x14ac:dyDescent="0.3">
      <c r="A136" s="6" t="str">
        <f>IFERROR(INDEX('Raw Data'!$A$2:$A$200,_xlfn.AGGREGATE(15,6,(ROW('Raw Data'!$A$2:$A$200)-ROW('Raw Data'!$A$2)+1)/((COUNTIF($A$4:A135,'Raw Data'!$A$2:$A$200)=0)*('Raw Data'!$A$2:$A$200&lt;&gt;"")),1)),"")</f>
        <v/>
      </c>
      <c r="B136" s="7" t="str">
        <f>IF($A136="","",SUMIFS('Raw Data'!$F:$F,'Raw Data'!$A:$A,$A136,'Raw Data'!$E:$E,B$3))</f>
        <v/>
      </c>
      <c r="C136" s="8" t="str">
        <f>IF($A136="","",SUMIFS('Raw Data'!$J:$J,'Raw Data'!$A:$A,$A136,'Raw Data'!$E:$E,B$3))</f>
        <v/>
      </c>
      <c r="D136" s="7" t="str">
        <f>IF($A136="","",SUMIFS('Raw Data'!$F:$F,'Raw Data'!$A:$A,$A136,'Raw Data'!$E:$E,D$3))</f>
        <v/>
      </c>
      <c r="E136" s="8" t="str">
        <f>IF($A136="","",SUMIFS('Raw Data'!$J:$J,'Raw Data'!$A:$A,$A136,'Raw Data'!$E:$E,D$3))</f>
        <v/>
      </c>
      <c r="F136" s="7" t="str">
        <f>IF($A136="","",SUMIFS('Raw Data'!$F:$F,'Raw Data'!$A:$A,$A136,'Raw Data'!$E:$E,F$3))</f>
        <v/>
      </c>
      <c r="G136" s="8" t="str">
        <f>IF($A136="","",SUMIFS('Raw Data'!$J:$J,'Raw Data'!$A:$A,$A136,'Raw Data'!$E:$E,F$3))</f>
        <v/>
      </c>
      <c r="H136" s="7" t="str">
        <f>IF($A136="","",SUMIFS('Raw Data'!$F:$F,'Raw Data'!$A:$A,$A136,'Raw Data'!$E:$E,H$3))</f>
        <v/>
      </c>
      <c r="I136" s="8" t="str">
        <f>IF($A136="","",SUMIFS('Raw Data'!$J:$J,'Raw Data'!$A:$A,$A136,'Raw Data'!$E:$E,H$3))</f>
        <v/>
      </c>
      <c r="J136" s="9" t="str">
        <f t="shared" si="12"/>
        <v/>
      </c>
      <c r="K136" s="10" t="str">
        <f t="shared" si="13"/>
        <v/>
      </c>
      <c r="L136" s="5" t="str">
        <f t="shared" si="14"/>
        <v/>
      </c>
    </row>
    <row r="137" spans="1:12" x14ac:dyDescent="0.3">
      <c r="A137" s="6" t="str">
        <f>IFERROR(INDEX('Raw Data'!$A$2:$A$200,_xlfn.AGGREGATE(15,6,(ROW('Raw Data'!$A$2:$A$200)-ROW('Raw Data'!$A$2)+1)/((COUNTIF($A$4:A136,'Raw Data'!$A$2:$A$200)=0)*('Raw Data'!$A$2:$A$200&lt;&gt;"")),1)),"")</f>
        <v/>
      </c>
      <c r="B137" s="7" t="str">
        <f>IF($A137="","",SUMIFS('Raw Data'!$F:$F,'Raw Data'!$A:$A,$A137,'Raw Data'!$E:$E,B$3))</f>
        <v/>
      </c>
      <c r="C137" s="8" t="str">
        <f>IF($A137="","",SUMIFS('Raw Data'!$J:$J,'Raw Data'!$A:$A,$A137,'Raw Data'!$E:$E,B$3))</f>
        <v/>
      </c>
      <c r="D137" s="7" t="str">
        <f>IF($A137="","",SUMIFS('Raw Data'!$F:$F,'Raw Data'!$A:$A,$A137,'Raw Data'!$E:$E,D$3))</f>
        <v/>
      </c>
      <c r="E137" s="8" t="str">
        <f>IF($A137="","",SUMIFS('Raw Data'!$J:$J,'Raw Data'!$A:$A,$A137,'Raw Data'!$E:$E,D$3))</f>
        <v/>
      </c>
      <c r="F137" s="7" t="str">
        <f>IF($A137="","",SUMIFS('Raw Data'!$F:$F,'Raw Data'!$A:$A,$A137,'Raw Data'!$E:$E,F$3))</f>
        <v/>
      </c>
      <c r="G137" s="8" t="str">
        <f>IF($A137="","",SUMIFS('Raw Data'!$J:$J,'Raw Data'!$A:$A,$A137,'Raw Data'!$E:$E,F$3))</f>
        <v/>
      </c>
      <c r="H137" s="7" t="str">
        <f>IF($A137="","",SUMIFS('Raw Data'!$F:$F,'Raw Data'!$A:$A,$A137,'Raw Data'!$E:$E,H$3))</f>
        <v/>
      </c>
      <c r="I137" s="8" t="str">
        <f>IF($A137="","",SUMIFS('Raw Data'!$J:$J,'Raw Data'!$A:$A,$A137,'Raw Data'!$E:$E,H$3))</f>
        <v/>
      </c>
      <c r="J137" s="9" t="str">
        <f t="shared" si="12"/>
        <v/>
      </c>
      <c r="K137" s="10" t="str">
        <f t="shared" si="13"/>
        <v/>
      </c>
      <c r="L137" s="5" t="str">
        <f t="shared" si="14"/>
        <v/>
      </c>
    </row>
    <row r="138" spans="1:12" x14ac:dyDescent="0.3">
      <c r="A138" s="6" t="str">
        <f>IFERROR(INDEX('Raw Data'!$A$2:$A$200,_xlfn.AGGREGATE(15,6,(ROW('Raw Data'!$A$2:$A$200)-ROW('Raw Data'!$A$2)+1)/((COUNTIF($A$4:A137,'Raw Data'!$A$2:$A$200)=0)*('Raw Data'!$A$2:$A$200&lt;&gt;"")),1)),"")</f>
        <v/>
      </c>
      <c r="B138" s="7" t="str">
        <f>IF($A138="","",SUMIFS('Raw Data'!$F:$F,'Raw Data'!$A:$A,$A138,'Raw Data'!$E:$E,B$3))</f>
        <v/>
      </c>
      <c r="C138" s="8" t="str">
        <f>IF($A138="","",SUMIFS('Raw Data'!$J:$J,'Raw Data'!$A:$A,$A138,'Raw Data'!$E:$E,B$3))</f>
        <v/>
      </c>
      <c r="D138" s="7" t="str">
        <f>IF($A138="","",SUMIFS('Raw Data'!$F:$F,'Raw Data'!$A:$A,$A138,'Raw Data'!$E:$E,D$3))</f>
        <v/>
      </c>
      <c r="E138" s="8" t="str">
        <f>IF($A138="","",SUMIFS('Raw Data'!$J:$J,'Raw Data'!$A:$A,$A138,'Raw Data'!$E:$E,D$3))</f>
        <v/>
      </c>
      <c r="F138" s="7" t="str">
        <f>IF($A138="","",SUMIFS('Raw Data'!$F:$F,'Raw Data'!$A:$A,$A138,'Raw Data'!$E:$E,F$3))</f>
        <v/>
      </c>
      <c r="G138" s="8" t="str">
        <f>IF($A138="","",SUMIFS('Raw Data'!$J:$J,'Raw Data'!$A:$A,$A138,'Raw Data'!$E:$E,F$3))</f>
        <v/>
      </c>
      <c r="H138" s="7" t="str">
        <f>IF($A138="","",SUMIFS('Raw Data'!$F:$F,'Raw Data'!$A:$A,$A138,'Raw Data'!$E:$E,H$3))</f>
        <v/>
      </c>
      <c r="I138" s="8" t="str">
        <f>IF($A138="","",SUMIFS('Raw Data'!$J:$J,'Raw Data'!$A:$A,$A138,'Raw Data'!$E:$E,H$3))</f>
        <v/>
      </c>
      <c r="J138" s="9" t="str">
        <f t="shared" si="12"/>
        <v/>
      </c>
      <c r="K138" s="10" t="str">
        <f t="shared" si="13"/>
        <v/>
      </c>
      <c r="L138" s="5" t="str">
        <f t="shared" si="14"/>
        <v/>
      </c>
    </row>
    <row r="139" spans="1:12" x14ac:dyDescent="0.3">
      <c r="A139" s="6" t="str">
        <f>IFERROR(INDEX('Raw Data'!$A$2:$A$200,_xlfn.AGGREGATE(15,6,(ROW('Raw Data'!$A$2:$A$200)-ROW('Raw Data'!$A$2)+1)/((COUNTIF($A$4:A138,'Raw Data'!$A$2:$A$200)=0)*('Raw Data'!$A$2:$A$200&lt;&gt;"")),1)),"")</f>
        <v/>
      </c>
      <c r="B139" s="7" t="str">
        <f>IF($A139="","",SUMIFS('Raw Data'!$F:$F,'Raw Data'!$A:$A,$A139,'Raw Data'!$E:$E,B$3))</f>
        <v/>
      </c>
      <c r="C139" s="8" t="str">
        <f>IF($A139="","",SUMIFS('Raw Data'!$J:$J,'Raw Data'!$A:$A,$A139,'Raw Data'!$E:$E,B$3))</f>
        <v/>
      </c>
      <c r="D139" s="7" t="str">
        <f>IF($A139="","",SUMIFS('Raw Data'!$F:$F,'Raw Data'!$A:$A,$A139,'Raw Data'!$E:$E,D$3))</f>
        <v/>
      </c>
      <c r="E139" s="8" t="str">
        <f>IF($A139="","",SUMIFS('Raw Data'!$J:$J,'Raw Data'!$A:$A,$A139,'Raw Data'!$E:$E,D$3))</f>
        <v/>
      </c>
      <c r="F139" s="7" t="str">
        <f>IF($A139="","",SUMIFS('Raw Data'!$F:$F,'Raw Data'!$A:$A,$A139,'Raw Data'!$E:$E,F$3))</f>
        <v/>
      </c>
      <c r="G139" s="8" t="str">
        <f>IF($A139="","",SUMIFS('Raw Data'!$J:$J,'Raw Data'!$A:$A,$A139,'Raw Data'!$E:$E,F$3))</f>
        <v/>
      </c>
      <c r="H139" s="7" t="str">
        <f>IF($A139="","",SUMIFS('Raw Data'!$F:$F,'Raw Data'!$A:$A,$A139,'Raw Data'!$E:$E,H$3))</f>
        <v/>
      </c>
      <c r="I139" s="8" t="str">
        <f>IF($A139="","",SUMIFS('Raw Data'!$J:$J,'Raw Data'!$A:$A,$A139,'Raw Data'!$E:$E,H$3))</f>
        <v/>
      </c>
      <c r="J139" s="9" t="str">
        <f t="shared" si="12"/>
        <v/>
      </c>
      <c r="K139" s="10" t="str">
        <f t="shared" si="13"/>
        <v/>
      </c>
      <c r="L139" s="5" t="str">
        <f t="shared" si="14"/>
        <v/>
      </c>
    </row>
    <row r="140" spans="1:12" x14ac:dyDescent="0.3">
      <c r="A140" s="6" t="str">
        <f>IFERROR(INDEX('Raw Data'!$A$2:$A$200,_xlfn.AGGREGATE(15,6,(ROW('Raw Data'!$A$2:$A$200)-ROW('Raw Data'!$A$2)+1)/((COUNTIF($A$4:A139,'Raw Data'!$A$2:$A$200)=0)*('Raw Data'!$A$2:$A$200&lt;&gt;"")),1)),"")</f>
        <v/>
      </c>
      <c r="B140" s="7" t="str">
        <f>IF($A140="","",SUMIFS('Raw Data'!$F:$F,'Raw Data'!$A:$A,$A140,'Raw Data'!$E:$E,B$3))</f>
        <v/>
      </c>
      <c r="C140" s="8" t="str">
        <f>IF($A140="","",SUMIFS('Raw Data'!$J:$J,'Raw Data'!$A:$A,$A140,'Raw Data'!$E:$E,B$3))</f>
        <v/>
      </c>
      <c r="D140" s="7" t="str">
        <f>IF($A140="","",SUMIFS('Raw Data'!$F:$F,'Raw Data'!$A:$A,$A140,'Raw Data'!$E:$E,D$3))</f>
        <v/>
      </c>
      <c r="E140" s="8" t="str">
        <f>IF($A140="","",SUMIFS('Raw Data'!$J:$J,'Raw Data'!$A:$A,$A140,'Raw Data'!$E:$E,D$3))</f>
        <v/>
      </c>
      <c r="F140" s="7" t="str">
        <f>IF($A140="","",SUMIFS('Raw Data'!$F:$F,'Raw Data'!$A:$A,$A140,'Raw Data'!$E:$E,F$3))</f>
        <v/>
      </c>
      <c r="G140" s="8" t="str">
        <f>IF($A140="","",SUMIFS('Raw Data'!$J:$J,'Raw Data'!$A:$A,$A140,'Raw Data'!$E:$E,F$3))</f>
        <v/>
      </c>
      <c r="H140" s="7" t="str">
        <f>IF($A140="","",SUMIFS('Raw Data'!$F:$F,'Raw Data'!$A:$A,$A140,'Raw Data'!$E:$E,H$3))</f>
        <v/>
      </c>
      <c r="I140" s="8" t="str">
        <f>IF($A140="","",SUMIFS('Raw Data'!$J:$J,'Raw Data'!$A:$A,$A140,'Raw Data'!$E:$E,H$3))</f>
        <v/>
      </c>
      <c r="J140" s="9" t="str">
        <f t="shared" si="12"/>
        <v/>
      </c>
      <c r="K140" s="10" t="str">
        <f t="shared" si="13"/>
        <v/>
      </c>
      <c r="L140" s="5" t="str">
        <f t="shared" si="14"/>
        <v/>
      </c>
    </row>
    <row r="141" spans="1:12" x14ac:dyDescent="0.3">
      <c r="A141" s="6" t="str">
        <f>IFERROR(INDEX('Raw Data'!$A$2:$A$200,_xlfn.AGGREGATE(15,6,(ROW('Raw Data'!$A$2:$A$200)-ROW('Raw Data'!$A$2)+1)/((COUNTIF($A$4:A140,'Raw Data'!$A$2:$A$200)=0)*('Raw Data'!$A$2:$A$200&lt;&gt;"")),1)),"")</f>
        <v/>
      </c>
      <c r="B141" s="7" t="str">
        <f>IF($A141="","",SUMIFS('Raw Data'!$F:$F,'Raw Data'!$A:$A,$A141,'Raw Data'!$E:$E,B$3))</f>
        <v/>
      </c>
      <c r="C141" s="8" t="str">
        <f>IF($A141="","",SUMIFS('Raw Data'!$J:$J,'Raw Data'!$A:$A,$A141,'Raw Data'!$E:$E,B$3))</f>
        <v/>
      </c>
      <c r="D141" s="7" t="str">
        <f>IF($A141="","",SUMIFS('Raw Data'!$F:$F,'Raw Data'!$A:$A,$A141,'Raw Data'!$E:$E,D$3))</f>
        <v/>
      </c>
      <c r="E141" s="8" t="str">
        <f>IF($A141="","",SUMIFS('Raw Data'!$J:$J,'Raw Data'!$A:$A,$A141,'Raw Data'!$E:$E,D$3))</f>
        <v/>
      </c>
      <c r="F141" s="7" t="str">
        <f>IF($A141="","",SUMIFS('Raw Data'!$F:$F,'Raw Data'!$A:$A,$A141,'Raw Data'!$E:$E,F$3))</f>
        <v/>
      </c>
      <c r="G141" s="8" t="str">
        <f>IF($A141="","",SUMIFS('Raw Data'!$J:$J,'Raw Data'!$A:$A,$A141,'Raw Data'!$E:$E,F$3))</f>
        <v/>
      </c>
      <c r="H141" s="7" t="str">
        <f>IF($A141="","",SUMIFS('Raw Data'!$F:$F,'Raw Data'!$A:$A,$A141,'Raw Data'!$E:$E,H$3))</f>
        <v/>
      </c>
      <c r="I141" s="8" t="str">
        <f>IF($A141="","",SUMIFS('Raw Data'!$J:$J,'Raw Data'!$A:$A,$A141,'Raw Data'!$E:$E,H$3))</f>
        <v/>
      </c>
      <c r="J141" s="9" t="str">
        <f t="shared" si="12"/>
        <v/>
      </c>
      <c r="K141" s="10" t="str">
        <f t="shared" si="13"/>
        <v/>
      </c>
      <c r="L141" s="5" t="str">
        <f t="shared" si="14"/>
        <v/>
      </c>
    </row>
    <row r="142" spans="1:12" x14ac:dyDescent="0.3">
      <c r="A142" s="6" t="str">
        <f>IFERROR(INDEX('Raw Data'!$A$2:$A$200,_xlfn.AGGREGATE(15,6,(ROW('Raw Data'!$A$2:$A$200)-ROW('Raw Data'!$A$2)+1)/((COUNTIF($A$4:A141,'Raw Data'!$A$2:$A$200)=0)*('Raw Data'!$A$2:$A$200&lt;&gt;"")),1)),"")</f>
        <v/>
      </c>
      <c r="B142" s="7" t="str">
        <f>IF($A142="","",SUMIFS('Raw Data'!$F:$F,'Raw Data'!$A:$A,$A142,'Raw Data'!$E:$E,B$3))</f>
        <v/>
      </c>
      <c r="C142" s="8" t="str">
        <f>IF($A142="","",SUMIFS('Raw Data'!$J:$J,'Raw Data'!$A:$A,$A142,'Raw Data'!$E:$E,B$3))</f>
        <v/>
      </c>
      <c r="D142" s="7" t="str">
        <f>IF($A142="","",SUMIFS('Raw Data'!$F:$F,'Raw Data'!$A:$A,$A142,'Raw Data'!$E:$E,D$3))</f>
        <v/>
      </c>
      <c r="E142" s="8" t="str">
        <f>IF($A142="","",SUMIFS('Raw Data'!$J:$J,'Raw Data'!$A:$A,$A142,'Raw Data'!$E:$E,D$3))</f>
        <v/>
      </c>
      <c r="F142" s="7" t="str">
        <f>IF($A142="","",SUMIFS('Raw Data'!$F:$F,'Raw Data'!$A:$A,$A142,'Raw Data'!$E:$E,F$3))</f>
        <v/>
      </c>
      <c r="G142" s="8" t="str">
        <f>IF($A142="","",SUMIFS('Raw Data'!$J:$J,'Raw Data'!$A:$A,$A142,'Raw Data'!$E:$E,F$3))</f>
        <v/>
      </c>
      <c r="H142" s="7" t="str">
        <f>IF($A142="","",SUMIFS('Raw Data'!$F:$F,'Raw Data'!$A:$A,$A142,'Raw Data'!$E:$E,H$3))</f>
        <v/>
      </c>
      <c r="I142" s="8" t="str">
        <f>IF($A142="","",SUMIFS('Raw Data'!$J:$J,'Raw Data'!$A:$A,$A142,'Raw Data'!$E:$E,H$3))</f>
        <v/>
      </c>
      <c r="J142" s="9" t="str">
        <f t="shared" si="12"/>
        <v/>
      </c>
      <c r="K142" s="10" t="str">
        <f t="shared" si="13"/>
        <v/>
      </c>
      <c r="L142" s="5" t="str">
        <f t="shared" si="14"/>
        <v/>
      </c>
    </row>
    <row r="143" spans="1:12" x14ac:dyDescent="0.3">
      <c r="A143" s="6" t="str">
        <f>IFERROR(INDEX('Raw Data'!$A$2:$A$200,_xlfn.AGGREGATE(15,6,(ROW('Raw Data'!$A$2:$A$200)-ROW('Raw Data'!$A$2)+1)/((COUNTIF($A$4:A142,'Raw Data'!$A$2:$A$200)=0)*('Raw Data'!$A$2:$A$200&lt;&gt;"")),1)),"")</f>
        <v/>
      </c>
      <c r="B143" s="7" t="str">
        <f>IF($A143="","",SUMIFS('Raw Data'!$F:$F,'Raw Data'!$A:$A,$A143,'Raw Data'!$E:$E,B$3))</f>
        <v/>
      </c>
      <c r="C143" s="8" t="str">
        <f>IF($A143="","",SUMIFS('Raw Data'!$J:$J,'Raw Data'!$A:$A,$A143,'Raw Data'!$E:$E,B$3))</f>
        <v/>
      </c>
      <c r="D143" s="7" t="str">
        <f>IF($A143="","",SUMIFS('Raw Data'!$F:$F,'Raw Data'!$A:$A,$A143,'Raw Data'!$E:$E,D$3))</f>
        <v/>
      </c>
      <c r="E143" s="8" t="str">
        <f>IF($A143="","",SUMIFS('Raw Data'!$J:$J,'Raw Data'!$A:$A,$A143,'Raw Data'!$E:$E,D$3))</f>
        <v/>
      </c>
      <c r="F143" s="7" t="str">
        <f>IF($A143="","",SUMIFS('Raw Data'!$F:$F,'Raw Data'!$A:$A,$A143,'Raw Data'!$E:$E,F$3))</f>
        <v/>
      </c>
      <c r="G143" s="8" t="str">
        <f>IF($A143="","",SUMIFS('Raw Data'!$J:$J,'Raw Data'!$A:$A,$A143,'Raw Data'!$E:$E,F$3))</f>
        <v/>
      </c>
      <c r="H143" s="7" t="str">
        <f>IF($A143="","",SUMIFS('Raw Data'!$F:$F,'Raw Data'!$A:$A,$A143,'Raw Data'!$E:$E,H$3))</f>
        <v/>
      </c>
      <c r="I143" s="8" t="str">
        <f>IF($A143="","",SUMIFS('Raw Data'!$J:$J,'Raw Data'!$A:$A,$A143,'Raw Data'!$E:$E,H$3))</f>
        <v/>
      </c>
      <c r="J143" s="9" t="str">
        <f t="shared" si="12"/>
        <v/>
      </c>
      <c r="K143" s="10" t="str">
        <f t="shared" si="13"/>
        <v/>
      </c>
      <c r="L143" s="5" t="str">
        <f t="shared" si="14"/>
        <v/>
      </c>
    </row>
    <row r="144" spans="1:12" x14ac:dyDescent="0.3">
      <c r="A144" s="6" t="str">
        <f>IFERROR(INDEX('Raw Data'!$A$2:$A$200,_xlfn.AGGREGATE(15,6,(ROW('Raw Data'!$A$2:$A$200)-ROW('Raw Data'!$A$2)+1)/((COUNTIF($A$4:A143,'Raw Data'!$A$2:$A$200)=0)*('Raw Data'!$A$2:$A$200&lt;&gt;"")),1)),"")</f>
        <v/>
      </c>
      <c r="B144" s="7" t="str">
        <f>IF($A144="","",SUMIFS('Raw Data'!$F:$F,'Raw Data'!$A:$A,$A144,'Raw Data'!$E:$E,B$3))</f>
        <v/>
      </c>
      <c r="C144" s="8" t="str">
        <f>IF($A144="","",SUMIFS('Raw Data'!$J:$J,'Raw Data'!$A:$A,$A144,'Raw Data'!$E:$E,B$3))</f>
        <v/>
      </c>
      <c r="D144" s="7" t="str">
        <f>IF($A144="","",SUMIFS('Raw Data'!$F:$F,'Raw Data'!$A:$A,$A144,'Raw Data'!$E:$E,D$3))</f>
        <v/>
      </c>
      <c r="E144" s="8" t="str">
        <f>IF($A144="","",SUMIFS('Raw Data'!$J:$J,'Raw Data'!$A:$A,$A144,'Raw Data'!$E:$E,D$3))</f>
        <v/>
      </c>
      <c r="F144" s="7" t="str">
        <f>IF($A144="","",SUMIFS('Raw Data'!$F:$F,'Raw Data'!$A:$A,$A144,'Raw Data'!$E:$E,F$3))</f>
        <v/>
      </c>
      <c r="G144" s="8" t="str">
        <f>IF($A144="","",SUMIFS('Raw Data'!$J:$J,'Raw Data'!$A:$A,$A144,'Raw Data'!$E:$E,F$3))</f>
        <v/>
      </c>
      <c r="H144" s="7" t="str">
        <f>IF($A144="","",SUMIFS('Raw Data'!$F:$F,'Raw Data'!$A:$A,$A144,'Raw Data'!$E:$E,H$3))</f>
        <v/>
      </c>
      <c r="I144" s="8" t="str">
        <f>IF($A144="","",SUMIFS('Raw Data'!$J:$J,'Raw Data'!$A:$A,$A144,'Raw Data'!$E:$E,H$3))</f>
        <v/>
      </c>
      <c r="J144" s="9" t="str">
        <f t="shared" si="12"/>
        <v/>
      </c>
      <c r="K144" s="10" t="str">
        <f t="shared" si="13"/>
        <v/>
      </c>
      <c r="L144" s="5" t="str">
        <f t="shared" si="14"/>
        <v/>
      </c>
    </row>
    <row r="145" spans="1:12" x14ac:dyDescent="0.3">
      <c r="A145" s="6" t="str">
        <f>IFERROR(INDEX('Raw Data'!$A$2:$A$200,_xlfn.AGGREGATE(15,6,(ROW('Raw Data'!$A$2:$A$200)-ROW('Raw Data'!$A$2)+1)/((COUNTIF($A$4:A144,'Raw Data'!$A$2:$A$200)=0)*('Raw Data'!$A$2:$A$200&lt;&gt;"")),1)),"")</f>
        <v/>
      </c>
      <c r="B145" s="7" t="str">
        <f>IF($A145="","",SUMIFS('Raw Data'!$F:$F,'Raw Data'!$A:$A,$A145,'Raw Data'!$E:$E,B$3))</f>
        <v/>
      </c>
      <c r="C145" s="8" t="str">
        <f>IF($A145="","",SUMIFS('Raw Data'!$J:$J,'Raw Data'!$A:$A,$A145,'Raw Data'!$E:$E,B$3))</f>
        <v/>
      </c>
      <c r="D145" s="7" t="str">
        <f>IF($A145="","",SUMIFS('Raw Data'!$F:$F,'Raw Data'!$A:$A,$A145,'Raw Data'!$E:$E,D$3))</f>
        <v/>
      </c>
      <c r="E145" s="8" t="str">
        <f>IF($A145="","",SUMIFS('Raw Data'!$J:$J,'Raw Data'!$A:$A,$A145,'Raw Data'!$E:$E,D$3))</f>
        <v/>
      </c>
      <c r="F145" s="7" t="str">
        <f>IF($A145="","",SUMIFS('Raw Data'!$F:$F,'Raw Data'!$A:$A,$A145,'Raw Data'!$E:$E,F$3))</f>
        <v/>
      </c>
      <c r="G145" s="8" t="str">
        <f>IF($A145="","",SUMIFS('Raw Data'!$J:$J,'Raw Data'!$A:$A,$A145,'Raw Data'!$E:$E,F$3))</f>
        <v/>
      </c>
      <c r="H145" s="7" t="str">
        <f>IF($A145="","",SUMIFS('Raw Data'!$F:$F,'Raw Data'!$A:$A,$A145,'Raw Data'!$E:$E,H$3))</f>
        <v/>
      </c>
      <c r="I145" s="8" t="str">
        <f>IF($A145="","",SUMIFS('Raw Data'!$J:$J,'Raw Data'!$A:$A,$A145,'Raw Data'!$E:$E,H$3))</f>
        <v/>
      </c>
      <c r="J145" s="9" t="str">
        <f t="shared" si="12"/>
        <v/>
      </c>
      <c r="K145" s="10" t="str">
        <f t="shared" si="13"/>
        <v/>
      </c>
      <c r="L145" s="5" t="str">
        <f t="shared" si="14"/>
        <v/>
      </c>
    </row>
    <row r="146" spans="1:12" x14ac:dyDescent="0.3">
      <c r="A146" s="6" t="str">
        <f>IFERROR(INDEX('Raw Data'!$A$2:$A$200,_xlfn.AGGREGATE(15,6,(ROW('Raw Data'!$A$2:$A$200)-ROW('Raw Data'!$A$2)+1)/((COUNTIF($A$4:A145,'Raw Data'!$A$2:$A$200)=0)*('Raw Data'!$A$2:$A$200&lt;&gt;"")),1)),"")</f>
        <v/>
      </c>
      <c r="B146" s="7" t="str">
        <f>IF($A146="","",SUMIFS('Raw Data'!$F:$F,'Raw Data'!$A:$A,$A146,'Raw Data'!$E:$E,B$3))</f>
        <v/>
      </c>
      <c r="C146" s="8" t="str">
        <f>IF($A146="","",SUMIFS('Raw Data'!$J:$J,'Raw Data'!$A:$A,$A146,'Raw Data'!$E:$E,B$3))</f>
        <v/>
      </c>
      <c r="D146" s="7" t="str">
        <f>IF($A146="","",SUMIFS('Raw Data'!$F:$F,'Raw Data'!$A:$A,$A146,'Raw Data'!$E:$E,D$3))</f>
        <v/>
      </c>
      <c r="E146" s="8" t="str">
        <f>IF($A146="","",SUMIFS('Raw Data'!$J:$J,'Raw Data'!$A:$A,$A146,'Raw Data'!$E:$E,D$3))</f>
        <v/>
      </c>
      <c r="F146" s="7" t="str">
        <f>IF($A146="","",SUMIFS('Raw Data'!$F:$F,'Raw Data'!$A:$A,$A146,'Raw Data'!$E:$E,F$3))</f>
        <v/>
      </c>
      <c r="G146" s="8" t="str">
        <f>IF($A146="","",SUMIFS('Raw Data'!$J:$J,'Raw Data'!$A:$A,$A146,'Raw Data'!$E:$E,F$3))</f>
        <v/>
      </c>
      <c r="H146" s="7" t="str">
        <f>IF($A146="","",SUMIFS('Raw Data'!$F:$F,'Raw Data'!$A:$A,$A146,'Raw Data'!$E:$E,H$3))</f>
        <v/>
      </c>
      <c r="I146" s="8" t="str">
        <f>IF($A146="","",SUMIFS('Raw Data'!$J:$J,'Raw Data'!$A:$A,$A146,'Raw Data'!$E:$E,H$3))</f>
        <v/>
      </c>
      <c r="J146" s="9" t="str">
        <f t="shared" si="12"/>
        <v/>
      </c>
      <c r="K146" s="10" t="str">
        <f t="shared" si="13"/>
        <v/>
      </c>
      <c r="L146" s="5" t="str">
        <f t="shared" si="14"/>
        <v/>
      </c>
    </row>
    <row r="147" spans="1:12" x14ac:dyDescent="0.3">
      <c r="A147" s="6" t="str">
        <f>IFERROR(INDEX('Raw Data'!$A$2:$A$200,_xlfn.AGGREGATE(15,6,(ROW('Raw Data'!$A$2:$A$200)-ROW('Raw Data'!$A$2)+1)/((COUNTIF($A$4:A146,'Raw Data'!$A$2:$A$200)=0)*('Raw Data'!$A$2:$A$200&lt;&gt;"")),1)),"")</f>
        <v/>
      </c>
      <c r="B147" s="7" t="str">
        <f>IF($A147="","",SUMIFS('Raw Data'!$F:$F,'Raw Data'!$A:$A,$A147,'Raw Data'!$E:$E,B$3))</f>
        <v/>
      </c>
      <c r="C147" s="8" t="str">
        <f>IF($A147="","",SUMIFS('Raw Data'!$J:$J,'Raw Data'!$A:$A,$A147,'Raw Data'!$E:$E,B$3))</f>
        <v/>
      </c>
      <c r="D147" s="7" t="str">
        <f>IF($A147="","",SUMIFS('Raw Data'!$F:$F,'Raw Data'!$A:$A,$A147,'Raw Data'!$E:$E,D$3))</f>
        <v/>
      </c>
      <c r="E147" s="8" t="str">
        <f>IF($A147="","",SUMIFS('Raw Data'!$J:$J,'Raw Data'!$A:$A,$A147,'Raw Data'!$E:$E,D$3))</f>
        <v/>
      </c>
      <c r="F147" s="7" t="str">
        <f>IF($A147="","",SUMIFS('Raw Data'!$F:$F,'Raw Data'!$A:$A,$A147,'Raw Data'!$E:$E,F$3))</f>
        <v/>
      </c>
      <c r="G147" s="8" t="str">
        <f>IF($A147="","",SUMIFS('Raw Data'!$J:$J,'Raw Data'!$A:$A,$A147,'Raw Data'!$E:$E,F$3))</f>
        <v/>
      </c>
      <c r="H147" s="7" t="str">
        <f>IF($A147="","",SUMIFS('Raw Data'!$F:$F,'Raw Data'!$A:$A,$A147,'Raw Data'!$E:$E,H$3))</f>
        <v/>
      </c>
      <c r="I147" s="8" t="str">
        <f>IF($A147="","",SUMIFS('Raw Data'!$J:$J,'Raw Data'!$A:$A,$A147,'Raw Data'!$E:$E,H$3))</f>
        <v/>
      </c>
      <c r="J147" s="9" t="str">
        <f t="shared" si="12"/>
        <v/>
      </c>
      <c r="K147" s="10" t="str">
        <f t="shared" si="13"/>
        <v/>
      </c>
      <c r="L147" s="5" t="str">
        <f t="shared" si="14"/>
        <v/>
      </c>
    </row>
    <row r="148" spans="1:12" x14ac:dyDescent="0.3">
      <c r="A148" s="6" t="str">
        <f>IFERROR(INDEX('Raw Data'!$A$2:$A$200,_xlfn.AGGREGATE(15,6,(ROW('Raw Data'!$A$2:$A$200)-ROW('Raw Data'!$A$2)+1)/((COUNTIF($A$4:A147,'Raw Data'!$A$2:$A$200)=0)*('Raw Data'!$A$2:$A$200&lt;&gt;"")),1)),"")</f>
        <v/>
      </c>
      <c r="B148" s="7" t="str">
        <f>IF($A148="","",SUMIFS('Raw Data'!$F:$F,'Raw Data'!$A:$A,$A148,'Raw Data'!$E:$E,B$3))</f>
        <v/>
      </c>
      <c r="C148" s="8" t="str">
        <f>IF($A148="","",SUMIFS('Raw Data'!$J:$J,'Raw Data'!$A:$A,$A148,'Raw Data'!$E:$E,B$3))</f>
        <v/>
      </c>
      <c r="D148" s="7" t="str">
        <f>IF($A148="","",SUMIFS('Raw Data'!$F:$F,'Raw Data'!$A:$A,$A148,'Raw Data'!$E:$E,D$3))</f>
        <v/>
      </c>
      <c r="E148" s="8" t="str">
        <f>IF($A148="","",SUMIFS('Raw Data'!$J:$J,'Raw Data'!$A:$A,$A148,'Raw Data'!$E:$E,D$3))</f>
        <v/>
      </c>
      <c r="F148" s="7" t="str">
        <f>IF($A148="","",SUMIFS('Raw Data'!$F:$F,'Raw Data'!$A:$A,$A148,'Raw Data'!$E:$E,F$3))</f>
        <v/>
      </c>
      <c r="G148" s="8" t="str">
        <f>IF($A148="","",SUMIFS('Raw Data'!$J:$J,'Raw Data'!$A:$A,$A148,'Raw Data'!$E:$E,F$3))</f>
        <v/>
      </c>
      <c r="H148" s="7" t="str">
        <f>IF($A148="","",SUMIFS('Raw Data'!$F:$F,'Raw Data'!$A:$A,$A148,'Raw Data'!$E:$E,H$3))</f>
        <v/>
      </c>
      <c r="I148" s="8" t="str">
        <f>IF($A148="","",SUMIFS('Raw Data'!$J:$J,'Raw Data'!$A:$A,$A148,'Raw Data'!$E:$E,H$3))</f>
        <v/>
      </c>
      <c r="J148" s="9" t="str">
        <f t="shared" si="12"/>
        <v/>
      </c>
      <c r="K148" s="10" t="str">
        <f t="shared" si="13"/>
        <v/>
      </c>
      <c r="L148" s="5" t="str">
        <f t="shared" si="14"/>
        <v/>
      </c>
    </row>
    <row r="149" spans="1:12" x14ac:dyDescent="0.3">
      <c r="A149" s="6" t="str">
        <f>IFERROR(INDEX('Raw Data'!$A$2:$A$200,_xlfn.AGGREGATE(15,6,(ROW('Raw Data'!$A$2:$A$200)-ROW('Raw Data'!$A$2)+1)/((COUNTIF($A$4:A148,'Raw Data'!$A$2:$A$200)=0)*('Raw Data'!$A$2:$A$200&lt;&gt;"")),1)),"")</f>
        <v/>
      </c>
      <c r="B149" s="7" t="str">
        <f>IF($A149="","",SUMIFS('Raw Data'!$F:$F,'Raw Data'!$A:$A,$A149,'Raw Data'!$E:$E,B$3))</f>
        <v/>
      </c>
      <c r="C149" s="8" t="str">
        <f>IF($A149="","",SUMIFS('Raw Data'!$J:$J,'Raw Data'!$A:$A,$A149,'Raw Data'!$E:$E,B$3))</f>
        <v/>
      </c>
      <c r="D149" s="7" t="str">
        <f>IF($A149="","",SUMIFS('Raw Data'!$F:$F,'Raw Data'!$A:$A,$A149,'Raw Data'!$E:$E,D$3))</f>
        <v/>
      </c>
      <c r="E149" s="8" t="str">
        <f>IF($A149="","",SUMIFS('Raw Data'!$J:$J,'Raw Data'!$A:$A,$A149,'Raw Data'!$E:$E,D$3))</f>
        <v/>
      </c>
      <c r="F149" s="7" t="str">
        <f>IF($A149="","",SUMIFS('Raw Data'!$F:$F,'Raw Data'!$A:$A,$A149,'Raw Data'!$E:$E,F$3))</f>
        <v/>
      </c>
      <c r="G149" s="8" t="str">
        <f>IF($A149="","",SUMIFS('Raw Data'!$J:$J,'Raw Data'!$A:$A,$A149,'Raw Data'!$E:$E,F$3))</f>
        <v/>
      </c>
      <c r="H149" s="7" t="str">
        <f>IF($A149="","",SUMIFS('Raw Data'!$F:$F,'Raw Data'!$A:$A,$A149,'Raw Data'!$E:$E,H$3))</f>
        <v/>
      </c>
      <c r="I149" s="8" t="str">
        <f>IF($A149="","",SUMIFS('Raw Data'!$J:$J,'Raw Data'!$A:$A,$A149,'Raw Data'!$E:$E,H$3))</f>
        <v/>
      </c>
      <c r="J149" s="9" t="str">
        <f t="shared" si="12"/>
        <v/>
      </c>
      <c r="K149" s="10" t="str">
        <f t="shared" si="13"/>
        <v/>
      </c>
      <c r="L149" s="5" t="str">
        <f t="shared" si="14"/>
        <v/>
      </c>
    </row>
    <row r="150" spans="1:12" x14ac:dyDescent="0.3">
      <c r="A150" s="6" t="str">
        <f>IFERROR(INDEX('Raw Data'!$A$2:$A$200,_xlfn.AGGREGATE(15,6,(ROW('Raw Data'!$A$2:$A$200)-ROW('Raw Data'!$A$2)+1)/((COUNTIF($A$4:A149,'Raw Data'!$A$2:$A$200)=0)*('Raw Data'!$A$2:$A$200&lt;&gt;"")),1)),"")</f>
        <v/>
      </c>
      <c r="B150" s="7" t="str">
        <f>IF($A150="","",SUMIFS('Raw Data'!$F:$F,'Raw Data'!$A:$A,$A150,'Raw Data'!$E:$E,B$3))</f>
        <v/>
      </c>
      <c r="C150" s="8" t="str">
        <f>IF($A150="","",SUMIFS('Raw Data'!$J:$J,'Raw Data'!$A:$A,$A150,'Raw Data'!$E:$E,B$3))</f>
        <v/>
      </c>
      <c r="D150" s="7" t="str">
        <f>IF($A150="","",SUMIFS('Raw Data'!$F:$F,'Raw Data'!$A:$A,$A150,'Raw Data'!$E:$E,D$3))</f>
        <v/>
      </c>
      <c r="E150" s="8" t="str">
        <f>IF($A150="","",SUMIFS('Raw Data'!$J:$J,'Raw Data'!$A:$A,$A150,'Raw Data'!$E:$E,D$3))</f>
        <v/>
      </c>
      <c r="F150" s="7" t="str">
        <f>IF($A150="","",SUMIFS('Raw Data'!$F:$F,'Raw Data'!$A:$A,$A150,'Raw Data'!$E:$E,F$3))</f>
        <v/>
      </c>
      <c r="G150" s="8" t="str">
        <f>IF($A150="","",SUMIFS('Raw Data'!$J:$J,'Raw Data'!$A:$A,$A150,'Raw Data'!$E:$E,F$3))</f>
        <v/>
      </c>
      <c r="H150" s="7" t="str">
        <f>IF($A150="","",SUMIFS('Raw Data'!$F:$F,'Raw Data'!$A:$A,$A150,'Raw Data'!$E:$E,H$3))</f>
        <v/>
      </c>
      <c r="I150" s="8" t="str">
        <f>IF($A150="","",SUMIFS('Raw Data'!$J:$J,'Raw Data'!$A:$A,$A150,'Raw Data'!$E:$E,H$3))</f>
        <v/>
      </c>
      <c r="J150" s="9" t="str">
        <f t="shared" si="12"/>
        <v/>
      </c>
      <c r="K150" s="10" t="str">
        <f t="shared" si="13"/>
        <v/>
      </c>
      <c r="L150" s="5" t="str">
        <f t="shared" si="14"/>
        <v/>
      </c>
    </row>
    <row r="151" spans="1:12" x14ac:dyDescent="0.3">
      <c r="A151" s="6" t="str">
        <f>IFERROR(INDEX('Raw Data'!$A$2:$A$200,_xlfn.AGGREGATE(15,6,(ROW('Raw Data'!$A$2:$A$200)-ROW('Raw Data'!$A$2)+1)/((COUNTIF($A$4:A150,'Raw Data'!$A$2:$A$200)=0)*('Raw Data'!$A$2:$A$200&lt;&gt;"")),1)),"")</f>
        <v/>
      </c>
      <c r="B151" s="7" t="str">
        <f>IF($A151="","",SUMIFS('Raw Data'!$F:$F,'Raw Data'!$A:$A,$A151,'Raw Data'!$E:$E,B$3))</f>
        <v/>
      </c>
      <c r="C151" s="8" t="str">
        <f>IF($A151="","",SUMIFS('Raw Data'!$J:$J,'Raw Data'!$A:$A,$A151,'Raw Data'!$E:$E,B$3))</f>
        <v/>
      </c>
      <c r="D151" s="7" t="str">
        <f>IF($A151="","",SUMIFS('Raw Data'!$F:$F,'Raw Data'!$A:$A,$A151,'Raw Data'!$E:$E,D$3))</f>
        <v/>
      </c>
      <c r="E151" s="8" t="str">
        <f>IF($A151="","",SUMIFS('Raw Data'!$J:$J,'Raw Data'!$A:$A,$A151,'Raw Data'!$E:$E,D$3))</f>
        <v/>
      </c>
      <c r="F151" s="7" t="str">
        <f>IF($A151="","",SUMIFS('Raw Data'!$F:$F,'Raw Data'!$A:$A,$A151,'Raw Data'!$E:$E,F$3))</f>
        <v/>
      </c>
      <c r="G151" s="8" t="str">
        <f>IF($A151="","",SUMIFS('Raw Data'!$J:$J,'Raw Data'!$A:$A,$A151,'Raw Data'!$E:$E,F$3))</f>
        <v/>
      </c>
      <c r="H151" s="7" t="str">
        <f>IF($A151="","",SUMIFS('Raw Data'!$F:$F,'Raw Data'!$A:$A,$A151,'Raw Data'!$E:$E,H$3))</f>
        <v/>
      </c>
      <c r="I151" s="8" t="str">
        <f>IF($A151="","",SUMIFS('Raw Data'!$J:$J,'Raw Data'!$A:$A,$A151,'Raw Data'!$E:$E,H$3))</f>
        <v/>
      </c>
      <c r="J151" s="9" t="str">
        <f t="shared" si="12"/>
        <v/>
      </c>
      <c r="K151" s="10" t="str">
        <f t="shared" si="13"/>
        <v/>
      </c>
      <c r="L151" s="5" t="str">
        <f t="shared" si="14"/>
        <v/>
      </c>
    </row>
    <row r="152" spans="1:12" x14ac:dyDescent="0.3">
      <c r="A152" s="6" t="str">
        <f>IFERROR(INDEX('Raw Data'!$A$2:$A$200,_xlfn.AGGREGATE(15,6,(ROW('Raw Data'!$A$2:$A$200)-ROW('Raw Data'!$A$2)+1)/((COUNTIF($A$4:A151,'Raw Data'!$A$2:$A$200)=0)*('Raw Data'!$A$2:$A$200&lt;&gt;"")),1)),"")</f>
        <v/>
      </c>
      <c r="B152" s="7" t="str">
        <f>IF($A152="","",SUMIFS('Raw Data'!$F:$F,'Raw Data'!$A:$A,$A152,'Raw Data'!$E:$E,B$3))</f>
        <v/>
      </c>
      <c r="C152" s="8" t="str">
        <f>IF($A152="","",SUMIFS('Raw Data'!$J:$J,'Raw Data'!$A:$A,$A152,'Raw Data'!$E:$E,B$3))</f>
        <v/>
      </c>
      <c r="D152" s="7" t="str">
        <f>IF($A152="","",SUMIFS('Raw Data'!$F:$F,'Raw Data'!$A:$A,$A152,'Raw Data'!$E:$E,D$3))</f>
        <v/>
      </c>
      <c r="E152" s="8" t="str">
        <f>IF($A152="","",SUMIFS('Raw Data'!$J:$J,'Raw Data'!$A:$A,$A152,'Raw Data'!$E:$E,D$3))</f>
        <v/>
      </c>
      <c r="F152" s="7" t="str">
        <f>IF($A152="","",SUMIFS('Raw Data'!$F:$F,'Raw Data'!$A:$A,$A152,'Raw Data'!$E:$E,F$3))</f>
        <v/>
      </c>
      <c r="G152" s="8" t="str">
        <f>IF($A152="","",SUMIFS('Raw Data'!$J:$J,'Raw Data'!$A:$A,$A152,'Raw Data'!$E:$E,F$3))</f>
        <v/>
      </c>
      <c r="H152" s="7" t="str">
        <f>IF($A152="","",SUMIFS('Raw Data'!$F:$F,'Raw Data'!$A:$A,$A152,'Raw Data'!$E:$E,H$3))</f>
        <v/>
      </c>
      <c r="I152" s="8" t="str">
        <f>IF($A152="","",SUMIFS('Raw Data'!$J:$J,'Raw Data'!$A:$A,$A152,'Raw Data'!$E:$E,H$3))</f>
        <v/>
      </c>
      <c r="J152" s="9" t="str">
        <f t="shared" si="12"/>
        <v/>
      </c>
      <c r="K152" s="10" t="str">
        <f t="shared" si="13"/>
        <v/>
      </c>
      <c r="L152" s="5" t="str">
        <f t="shared" si="14"/>
        <v/>
      </c>
    </row>
    <row r="153" spans="1:12" x14ac:dyDescent="0.3">
      <c r="A153" s="6" t="str">
        <f>IFERROR(INDEX('Raw Data'!$A$2:$A$200,_xlfn.AGGREGATE(15,6,(ROW('Raw Data'!$A$2:$A$200)-ROW('Raw Data'!$A$2)+1)/((COUNTIF($A$4:A152,'Raw Data'!$A$2:$A$200)=0)*('Raw Data'!$A$2:$A$200&lt;&gt;"")),1)),"")</f>
        <v/>
      </c>
      <c r="B153" s="7" t="str">
        <f>IF($A153="","",SUMIFS('Raw Data'!$F:$F,'Raw Data'!$A:$A,$A153,'Raw Data'!$E:$E,B$3))</f>
        <v/>
      </c>
      <c r="C153" s="8" t="str">
        <f>IF($A153="","",SUMIFS('Raw Data'!$J:$J,'Raw Data'!$A:$A,$A153,'Raw Data'!$E:$E,B$3))</f>
        <v/>
      </c>
      <c r="D153" s="7" t="str">
        <f>IF($A153="","",SUMIFS('Raw Data'!$F:$F,'Raw Data'!$A:$A,$A153,'Raw Data'!$E:$E,D$3))</f>
        <v/>
      </c>
      <c r="E153" s="8" t="str">
        <f>IF($A153="","",SUMIFS('Raw Data'!$J:$J,'Raw Data'!$A:$A,$A153,'Raw Data'!$E:$E,D$3))</f>
        <v/>
      </c>
      <c r="F153" s="7" t="str">
        <f>IF($A153="","",SUMIFS('Raw Data'!$F:$F,'Raw Data'!$A:$A,$A153,'Raw Data'!$E:$E,F$3))</f>
        <v/>
      </c>
      <c r="G153" s="8" t="str">
        <f>IF($A153="","",SUMIFS('Raw Data'!$J:$J,'Raw Data'!$A:$A,$A153,'Raw Data'!$E:$E,F$3))</f>
        <v/>
      </c>
      <c r="H153" s="7" t="str">
        <f>IF($A153="","",SUMIFS('Raw Data'!$F:$F,'Raw Data'!$A:$A,$A153,'Raw Data'!$E:$E,H$3))</f>
        <v/>
      </c>
      <c r="I153" s="8" t="str">
        <f>IF($A153="","",SUMIFS('Raw Data'!$J:$J,'Raw Data'!$A:$A,$A153,'Raw Data'!$E:$E,H$3))</f>
        <v/>
      </c>
      <c r="J153" s="9" t="str">
        <f t="shared" si="12"/>
        <v/>
      </c>
      <c r="K153" s="10" t="str">
        <f t="shared" si="13"/>
        <v/>
      </c>
      <c r="L153" s="5" t="str">
        <f t="shared" si="14"/>
        <v/>
      </c>
    </row>
    <row r="154" spans="1:12" x14ac:dyDescent="0.3">
      <c r="A154" s="6" t="str">
        <f>IFERROR(INDEX('Raw Data'!$A$2:$A$200,_xlfn.AGGREGATE(15,6,(ROW('Raw Data'!$A$2:$A$200)-ROW('Raw Data'!$A$2)+1)/((COUNTIF($A$4:A153,'Raw Data'!$A$2:$A$200)=0)*('Raw Data'!$A$2:$A$200&lt;&gt;"")),1)),"")</f>
        <v/>
      </c>
      <c r="B154" s="7" t="str">
        <f>IF($A154="","",SUMIFS('Raw Data'!$F:$F,'Raw Data'!$A:$A,$A154,'Raw Data'!$E:$E,B$3))</f>
        <v/>
      </c>
      <c r="C154" s="8" t="str">
        <f>IF($A154="","",SUMIFS('Raw Data'!$J:$J,'Raw Data'!$A:$A,$A154,'Raw Data'!$E:$E,B$3))</f>
        <v/>
      </c>
      <c r="D154" s="7" t="str">
        <f>IF($A154="","",SUMIFS('Raw Data'!$F:$F,'Raw Data'!$A:$A,$A154,'Raw Data'!$E:$E,D$3))</f>
        <v/>
      </c>
      <c r="E154" s="8" t="str">
        <f>IF($A154="","",SUMIFS('Raw Data'!$J:$J,'Raw Data'!$A:$A,$A154,'Raw Data'!$E:$E,D$3))</f>
        <v/>
      </c>
      <c r="F154" s="7" t="str">
        <f>IF($A154="","",SUMIFS('Raw Data'!$F:$F,'Raw Data'!$A:$A,$A154,'Raw Data'!$E:$E,F$3))</f>
        <v/>
      </c>
      <c r="G154" s="8" t="str">
        <f>IF($A154="","",SUMIFS('Raw Data'!$J:$J,'Raw Data'!$A:$A,$A154,'Raw Data'!$E:$E,F$3))</f>
        <v/>
      </c>
      <c r="H154" s="7" t="str">
        <f>IF($A154="","",SUMIFS('Raw Data'!$F:$F,'Raw Data'!$A:$A,$A154,'Raw Data'!$E:$E,H$3))</f>
        <v/>
      </c>
      <c r="I154" s="8" t="str">
        <f>IF($A154="","",SUMIFS('Raw Data'!$J:$J,'Raw Data'!$A:$A,$A154,'Raw Data'!$E:$E,H$3))</f>
        <v/>
      </c>
      <c r="J154" s="9" t="str">
        <f t="shared" si="12"/>
        <v/>
      </c>
      <c r="K154" s="10" t="str">
        <f t="shared" si="13"/>
        <v/>
      </c>
      <c r="L154" s="5" t="str">
        <f t="shared" si="14"/>
        <v/>
      </c>
    </row>
    <row r="155" spans="1:12" x14ac:dyDescent="0.3">
      <c r="A155" s="6" t="str">
        <f>IFERROR(INDEX('Raw Data'!$A$2:$A$200,_xlfn.AGGREGATE(15,6,(ROW('Raw Data'!$A$2:$A$200)-ROW('Raw Data'!$A$2)+1)/((COUNTIF($A$4:A154,'Raw Data'!$A$2:$A$200)=0)*('Raw Data'!$A$2:$A$200&lt;&gt;"")),1)),"")</f>
        <v/>
      </c>
      <c r="B155" s="7" t="str">
        <f>IF($A155="","",SUMIFS('Raw Data'!$F:$F,'Raw Data'!$A:$A,$A155,'Raw Data'!$E:$E,B$3))</f>
        <v/>
      </c>
      <c r="C155" s="8" t="str">
        <f>IF($A155="","",SUMIFS('Raw Data'!$J:$J,'Raw Data'!$A:$A,$A155,'Raw Data'!$E:$E,B$3))</f>
        <v/>
      </c>
      <c r="D155" s="7" t="str">
        <f>IF($A155="","",SUMIFS('Raw Data'!$F:$F,'Raw Data'!$A:$A,$A155,'Raw Data'!$E:$E,D$3))</f>
        <v/>
      </c>
      <c r="E155" s="8" t="str">
        <f>IF($A155="","",SUMIFS('Raw Data'!$J:$J,'Raw Data'!$A:$A,$A155,'Raw Data'!$E:$E,D$3))</f>
        <v/>
      </c>
      <c r="F155" s="7" t="str">
        <f>IF($A155="","",SUMIFS('Raw Data'!$F:$F,'Raw Data'!$A:$A,$A155,'Raw Data'!$E:$E,F$3))</f>
        <v/>
      </c>
      <c r="G155" s="8" t="str">
        <f>IF($A155="","",SUMIFS('Raw Data'!$J:$J,'Raw Data'!$A:$A,$A155,'Raw Data'!$E:$E,F$3))</f>
        <v/>
      </c>
      <c r="H155" s="7" t="str">
        <f>IF($A155="","",SUMIFS('Raw Data'!$F:$F,'Raw Data'!$A:$A,$A155,'Raw Data'!$E:$E,H$3))</f>
        <v/>
      </c>
      <c r="I155" s="8" t="str">
        <f>IF($A155="","",SUMIFS('Raw Data'!$J:$J,'Raw Data'!$A:$A,$A155,'Raw Data'!$E:$E,H$3))</f>
        <v/>
      </c>
      <c r="J155" s="9" t="str">
        <f t="shared" si="12"/>
        <v/>
      </c>
      <c r="K155" s="10" t="str">
        <f t="shared" si="13"/>
        <v/>
      </c>
      <c r="L155" s="5" t="str">
        <f t="shared" si="14"/>
        <v/>
      </c>
    </row>
    <row r="156" spans="1:12" x14ac:dyDescent="0.3">
      <c r="A156" s="6" t="str">
        <f>IFERROR(INDEX('Raw Data'!$A$2:$A$200,_xlfn.AGGREGATE(15,6,(ROW('Raw Data'!$A$2:$A$200)-ROW('Raw Data'!$A$2)+1)/((COUNTIF($A$4:A155,'Raw Data'!$A$2:$A$200)=0)*('Raw Data'!$A$2:$A$200&lt;&gt;"")),1)),"")</f>
        <v/>
      </c>
      <c r="B156" s="7" t="str">
        <f>IF($A156="","",SUMIFS('Raw Data'!$F:$F,'Raw Data'!$A:$A,$A156,'Raw Data'!$E:$E,B$3))</f>
        <v/>
      </c>
      <c r="C156" s="8" t="str">
        <f>IF($A156="","",SUMIFS('Raw Data'!$J:$J,'Raw Data'!$A:$A,$A156,'Raw Data'!$E:$E,B$3))</f>
        <v/>
      </c>
      <c r="D156" s="7" t="str">
        <f>IF($A156="","",SUMIFS('Raw Data'!$F:$F,'Raw Data'!$A:$A,$A156,'Raw Data'!$E:$E,D$3))</f>
        <v/>
      </c>
      <c r="E156" s="8" t="str">
        <f>IF($A156="","",SUMIFS('Raw Data'!$J:$J,'Raw Data'!$A:$A,$A156,'Raw Data'!$E:$E,D$3))</f>
        <v/>
      </c>
      <c r="F156" s="7" t="str">
        <f>IF($A156="","",SUMIFS('Raw Data'!$F:$F,'Raw Data'!$A:$A,$A156,'Raw Data'!$E:$E,F$3))</f>
        <v/>
      </c>
      <c r="G156" s="8" t="str">
        <f>IF($A156="","",SUMIFS('Raw Data'!$J:$J,'Raw Data'!$A:$A,$A156,'Raw Data'!$E:$E,F$3))</f>
        <v/>
      </c>
      <c r="H156" s="7" t="str">
        <f>IF($A156="","",SUMIFS('Raw Data'!$F:$F,'Raw Data'!$A:$A,$A156,'Raw Data'!$E:$E,H$3))</f>
        <v/>
      </c>
      <c r="I156" s="8" t="str">
        <f>IF($A156="","",SUMIFS('Raw Data'!$J:$J,'Raw Data'!$A:$A,$A156,'Raw Data'!$E:$E,H$3))</f>
        <v/>
      </c>
      <c r="J156" s="9" t="str">
        <f t="shared" si="12"/>
        <v/>
      </c>
      <c r="K156" s="10" t="str">
        <f t="shared" si="13"/>
        <v/>
      </c>
      <c r="L156" s="5" t="str">
        <f t="shared" si="14"/>
        <v/>
      </c>
    </row>
    <row r="157" spans="1:12" x14ac:dyDescent="0.3">
      <c r="A157" s="6" t="str">
        <f>IFERROR(INDEX('Raw Data'!$A$2:$A$200,_xlfn.AGGREGATE(15,6,(ROW('Raw Data'!$A$2:$A$200)-ROW('Raw Data'!$A$2)+1)/((COUNTIF($A$4:A156,'Raw Data'!$A$2:$A$200)=0)*('Raw Data'!$A$2:$A$200&lt;&gt;"")),1)),"")</f>
        <v/>
      </c>
      <c r="B157" s="7" t="str">
        <f>IF($A157="","",SUMIFS('Raw Data'!$F:$F,'Raw Data'!$A:$A,$A157,'Raw Data'!$E:$E,B$3))</f>
        <v/>
      </c>
      <c r="C157" s="8" t="str">
        <f>IF($A157="","",SUMIFS('Raw Data'!$J:$J,'Raw Data'!$A:$A,$A157,'Raw Data'!$E:$E,B$3))</f>
        <v/>
      </c>
      <c r="D157" s="7" t="str">
        <f>IF($A157="","",SUMIFS('Raw Data'!$F:$F,'Raw Data'!$A:$A,$A157,'Raw Data'!$E:$E,D$3))</f>
        <v/>
      </c>
      <c r="E157" s="8" t="str">
        <f>IF($A157="","",SUMIFS('Raw Data'!$J:$J,'Raw Data'!$A:$A,$A157,'Raw Data'!$E:$E,D$3))</f>
        <v/>
      </c>
      <c r="F157" s="7" t="str">
        <f>IF($A157="","",SUMIFS('Raw Data'!$F:$F,'Raw Data'!$A:$A,$A157,'Raw Data'!$E:$E,F$3))</f>
        <v/>
      </c>
      <c r="G157" s="8" t="str">
        <f>IF($A157="","",SUMIFS('Raw Data'!$J:$J,'Raw Data'!$A:$A,$A157,'Raw Data'!$E:$E,F$3))</f>
        <v/>
      </c>
      <c r="H157" s="7" t="str">
        <f>IF($A157="","",SUMIFS('Raw Data'!$F:$F,'Raw Data'!$A:$A,$A157,'Raw Data'!$E:$E,H$3))</f>
        <v/>
      </c>
      <c r="I157" s="8" t="str">
        <f>IF($A157="","",SUMIFS('Raw Data'!$J:$J,'Raw Data'!$A:$A,$A157,'Raw Data'!$E:$E,H$3))</f>
        <v/>
      </c>
      <c r="J157" s="9" t="str">
        <f t="shared" si="12"/>
        <v/>
      </c>
      <c r="K157" s="10" t="str">
        <f t="shared" si="13"/>
        <v/>
      </c>
      <c r="L157" s="5" t="str">
        <f t="shared" si="14"/>
        <v/>
      </c>
    </row>
    <row r="158" spans="1:12" x14ac:dyDescent="0.3">
      <c r="A158" s="6" t="str">
        <f>IFERROR(INDEX('Raw Data'!$A$2:$A$200,_xlfn.AGGREGATE(15,6,(ROW('Raw Data'!$A$2:$A$200)-ROW('Raw Data'!$A$2)+1)/((COUNTIF($A$4:A157,'Raw Data'!$A$2:$A$200)=0)*('Raw Data'!$A$2:$A$200&lt;&gt;"")),1)),"")</f>
        <v/>
      </c>
      <c r="B158" s="7" t="str">
        <f>IF($A158="","",SUMIFS('Raw Data'!$F:$F,'Raw Data'!$A:$A,$A158,'Raw Data'!$E:$E,B$3))</f>
        <v/>
      </c>
      <c r="C158" s="8" t="str">
        <f>IF($A158="","",SUMIFS('Raw Data'!$J:$J,'Raw Data'!$A:$A,$A158,'Raw Data'!$E:$E,B$3))</f>
        <v/>
      </c>
      <c r="D158" s="7" t="str">
        <f>IF($A158="","",SUMIFS('Raw Data'!$F:$F,'Raw Data'!$A:$A,$A158,'Raw Data'!$E:$E,D$3))</f>
        <v/>
      </c>
      <c r="E158" s="8" t="str">
        <f>IF($A158="","",SUMIFS('Raw Data'!$J:$J,'Raw Data'!$A:$A,$A158,'Raw Data'!$E:$E,D$3))</f>
        <v/>
      </c>
      <c r="F158" s="7" t="str">
        <f>IF($A158="","",SUMIFS('Raw Data'!$F:$F,'Raw Data'!$A:$A,$A158,'Raw Data'!$E:$E,F$3))</f>
        <v/>
      </c>
      <c r="G158" s="8" t="str">
        <f>IF($A158="","",SUMIFS('Raw Data'!$J:$J,'Raw Data'!$A:$A,$A158,'Raw Data'!$E:$E,F$3))</f>
        <v/>
      </c>
      <c r="H158" s="7" t="str">
        <f>IF($A158="","",SUMIFS('Raw Data'!$F:$F,'Raw Data'!$A:$A,$A158,'Raw Data'!$E:$E,H$3))</f>
        <v/>
      </c>
      <c r="I158" s="8" t="str">
        <f>IF($A158="","",SUMIFS('Raw Data'!$J:$J,'Raw Data'!$A:$A,$A158,'Raw Data'!$E:$E,H$3))</f>
        <v/>
      </c>
      <c r="J158" s="9" t="str">
        <f t="shared" si="12"/>
        <v/>
      </c>
      <c r="K158" s="10" t="str">
        <f t="shared" si="13"/>
        <v/>
      </c>
      <c r="L158" s="5" t="str">
        <f t="shared" si="14"/>
        <v/>
      </c>
    </row>
    <row r="159" spans="1:12" x14ac:dyDescent="0.3">
      <c r="A159" s="6" t="str">
        <f>IFERROR(INDEX('Raw Data'!$A$2:$A$200,_xlfn.AGGREGATE(15,6,(ROW('Raw Data'!$A$2:$A$200)-ROW('Raw Data'!$A$2)+1)/((COUNTIF($A$4:A158,'Raw Data'!$A$2:$A$200)=0)*('Raw Data'!$A$2:$A$200&lt;&gt;"")),1)),"")</f>
        <v/>
      </c>
      <c r="B159" s="7" t="str">
        <f>IF($A159="","",SUMIFS('Raw Data'!$F:$F,'Raw Data'!$A:$A,$A159,'Raw Data'!$E:$E,B$3))</f>
        <v/>
      </c>
      <c r="C159" s="8" t="str">
        <f>IF($A159="","",SUMIFS('Raw Data'!$J:$J,'Raw Data'!$A:$A,$A159,'Raw Data'!$E:$E,B$3))</f>
        <v/>
      </c>
      <c r="D159" s="7" t="str">
        <f>IF($A159="","",SUMIFS('Raw Data'!$F:$F,'Raw Data'!$A:$A,$A159,'Raw Data'!$E:$E,D$3))</f>
        <v/>
      </c>
      <c r="E159" s="8" t="str">
        <f>IF($A159="","",SUMIFS('Raw Data'!$J:$J,'Raw Data'!$A:$A,$A159,'Raw Data'!$E:$E,D$3))</f>
        <v/>
      </c>
      <c r="F159" s="7" t="str">
        <f>IF($A159="","",SUMIFS('Raw Data'!$F:$F,'Raw Data'!$A:$A,$A159,'Raw Data'!$E:$E,F$3))</f>
        <v/>
      </c>
      <c r="G159" s="8" t="str">
        <f>IF($A159="","",SUMIFS('Raw Data'!$J:$J,'Raw Data'!$A:$A,$A159,'Raw Data'!$E:$E,F$3))</f>
        <v/>
      </c>
      <c r="H159" s="7" t="str">
        <f>IF($A159="","",SUMIFS('Raw Data'!$F:$F,'Raw Data'!$A:$A,$A159,'Raw Data'!$E:$E,H$3))</f>
        <v/>
      </c>
      <c r="I159" s="8" t="str">
        <f>IF($A159="","",SUMIFS('Raw Data'!$J:$J,'Raw Data'!$A:$A,$A159,'Raw Data'!$E:$E,H$3))</f>
        <v/>
      </c>
      <c r="J159" s="9" t="str">
        <f t="shared" si="12"/>
        <v/>
      </c>
      <c r="K159" s="10" t="str">
        <f t="shared" si="13"/>
        <v/>
      </c>
      <c r="L159" s="5" t="str">
        <f t="shared" si="14"/>
        <v/>
      </c>
    </row>
    <row r="160" spans="1:12" x14ac:dyDescent="0.3">
      <c r="A160" s="6" t="str">
        <f>IFERROR(INDEX('Raw Data'!$A$2:$A$200,_xlfn.AGGREGATE(15,6,(ROW('Raw Data'!$A$2:$A$200)-ROW('Raw Data'!$A$2)+1)/((COUNTIF($A$4:A159,'Raw Data'!$A$2:$A$200)=0)*('Raw Data'!$A$2:$A$200&lt;&gt;"")),1)),"")</f>
        <v/>
      </c>
      <c r="B160" s="7" t="str">
        <f>IF($A160="","",SUMIFS('Raw Data'!$F:$F,'Raw Data'!$A:$A,$A160,'Raw Data'!$E:$E,B$3))</f>
        <v/>
      </c>
      <c r="C160" s="8" t="str">
        <f>IF($A160="","",SUMIFS('Raw Data'!$J:$J,'Raw Data'!$A:$A,$A160,'Raw Data'!$E:$E,B$3))</f>
        <v/>
      </c>
      <c r="D160" s="7" t="str">
        <f>IF($A160="","",SUMIFS('Raw Data'!$F:$F,'Raw Data'!$A:$A,$A160,'Raw Data'!$E:$E,D$3))</f>
        <v/>
      </c>
      <c r="E160" s="8" t="str">
        <f>IF($A160="","",SUMIFS('Raw Data'!$J:$J,'Raw Data'!$A:$A,$A160,'Raw Data'!$E:$E,D$3))</f>
        <v/>
      </c>
      <c r="F160" s="7" t="str">
        <f>IF($A160="","",SUMIFS('Raw Data'!$F:$F,'Raw Data'!$A:$A,$A160,'Raw Data'!$E:$E,F$3))</f>
        <v/>
      </c>
      <c r="G160" s="8" t="str">
        <f>IF($A160="","",SUMIFS('Raw Data'!$J:$J,'Raw Data'!$A:$A,$A160,'Raw Data'!$E:$E,F$3))</f>
        <v/>
      </c>
      <c r="H160" s="7" t="str">
        <f>IF($A160="","",SUMIFS('Raw Data'!$F:$F,'Raw Data'!$A:$A,$A160,'Raw Data'!$E:$E,H$3))</f>
        <v/>
      </c>
      <c r="I160" s="8" t="str">
        <f>IF($A160="","",SUMIFS('Raw Data'!$J:$J,'Raw Data'!$A:$A,$A160,'Raw Data'!$E:$E,H$3))</f>
        <v/>
      </c>
      <c r="J160" s="9" t="str">
        <f t="shared" si="12"/>
        <v/>
      </c>
      <c r="K160" s="10" t="str">
        <f t="shared" si="13"/>
        <v/>
      </c>
      <c r="L160" s="5" t="str">
        <f t="shared" si="14"/>
        <v/>
      </c>
    </row>
    <row r="161" spans="1:12" x14ac:dyDescent="0.3">
      <c r="A161" s="6" t="str">
        <f>IFERROR(INDEX('Raw Data'!$A$2:$A$200,_xlfn.AGGREGATE(15,6,(ROW('Raw Data'!$A$2:$A$200)-ROW('Raw Data'!$A$2)+1)/((COUNTIF($A$4:A160,'Raw Data'!$A$2:$A$200)=0)*('Raw Data'!$A$2:$A$200&lt;&gt;"")),1)),"")</f>
        <v/>
      </c>
      <c r="B161" s="7" t="str">
        <f>IF($A161="","",SUMIFS('Raw Data'!$F:$F,'Raw Data'!$A:$A,$A161,'Raw Data'!$E:$E,B$3))</f>
        <v/>
      </c>
      <c r="C161" s="8" t="str">
        <f>IF($A161="","",SUMIFS('Raw Data'!$J:$J,'Raw Data'!$A:$A,$A161,'Raw Data'!$E:$E,B$3))</f>
        <v/>
      </c>
      <c r="D161" s="7" t="str">
        <f>IF($A161="","",SUMIFS('Raw Data'!$F:$F,'Raw Data'!$A:$A,$A161,'Raw Data'!$E:$E,D$3))</f>
        <v/>
      </c>
      <c r="E161" s="8" t="str">
        <f>IF($A161="","",SUMIFS('Raw Data'!$J:$J,'Raw Data'!$A:$A,$A161,'Raw Data'!$E:$E,D$3))</f>
        <v/>
      </c>
      <c r="F161" s="7" t="str">
        <f>IF($A161="","",SUMIFS('Raw Data'!$F:$F,'Raw Data'!$A:$A,$A161,'Raw Data'!$E:$E,F$3))</f>
        <v/>
      </c>
      <c r="G161" s="8" t="str">
        <f>IF($A161="","",SUMIFS('Raw Data'!$J:$J,'Raw Data'!$A:$A,$A161,'Raw Data'!$E:$E,F$3))</f>
        <v/>
      </c>
      <c r="H161" s="7" t="str">
        <f>IF($A161="","",SUMIFS('Raw Data'!$F:$F,'Raw Data'!$A:$A,$A161,'Raw Data'!$E:$E,H$3))</f>
        <v/>
      </c>
      <c r="I161" s="8" t="str">
        <f>IF($A161="","",SUMIFS('Raw Data'!$J:$J,'Raw Data'!$A:$A,$A161,'Raw Data'!$E:$E,H$3))</f>
        <v/>
      </c>
      <c r="J161" s="9" t="str">
        <f t="shared" si="12"/>
        <v/>
      </c>
      <c r="K161" s="10" t="str">
        <f t="shared" si="13"/>
        <v/>
      </c>
      <c r="L161" s="5" t="str">
        <f t="shared" si="14"/>
        <v/>
      </c>
    </row>
    <row r="162" spans="1:12" x14ac:dyDescent="0.3">
      <c r="A162" s="6" t="str">
        <f>IFERROR(INDEX('Raw Data'!$A$2:$A$200,_xlfn.AGGREGATE(15,6,(ROW('Raw Data'!$A$2:$A$200)-ROW('Raw Data'!$A$2)+1)/((COUNTIF($A$4:A161,'Raw Data'!$A$2:$A$200)=0)*('Raw Data'!$A$2:$A$200&lt;&gt;"")),1)),"")</f>
        <v/>
      </c>
      <c r="B162" s="7" t="str">
        <f>IF($A162="","",SUMIFS('Raw Data'!$F:$F,'Raw Data'!$A:$A,$A162,'Raw Data'!$E:$E,B$3))</f>
        <v/>
      </c>
      <c r="C162" s="8" t="str">
        <f>IF($A162="","",SUMIFS('Raw Data'!$J:$J,'Raw Data'!$A:$A,$A162,'Raw Data'!$E:$E,B$3))</f>
        <v/>
      </c>
      <c r="D162" s="7" t="str">
        <f>IF($A162="","",SUMIFS('Raw Data'!$F:$F,'Raw Data'!$A:$A,$A162,'Raw Data'!$E:$E,D$3))</f>
        <v/>
      </c>
      <c r="E162" s="8" t="str">
        <f>IF($A162="","",SUMIFS('Raw Data'!$J:$J,'Raw Data'!$A:$A,$A162,'Raw Data'!$E:$E,D$3))</f>
        <v/>
      </c>
      <c r="F162" s="7" t="str">
        <f>IF($A162="","",SUMIFS('Raw Data'!$F:$F,'Raw Data'!$A:$A,$A162,'Raw Data'!$E:$E,F$3))</f>
        <v/>
      </c>
      <c r="G162" s="8" t="str">
        <f>IF($A162="","",SUMIFS('Raw Data'!$J:$J,'Raw Data'!$A:$A,$A162,'Raw Data'!$E:$E,F$3))</f>
        <v/>
      </c>
      <c r="H162" s="7" t="str">
        <f>IF($A162="","",SUMIFS('Raw Data'!$F:$F,'Raw Data'!$A:$A,$A162,'Raw Data'!$E:$E,H$3))</f>
        <v/>
      </c>
      <c r="I162" s="8" t="str">
        <f>IF($A162="","",SUMIFS('Raw Data'!$J:$J,'Raw Data'!$A:$A,$A162,'Raw Data'!$E:$E,H$3))</f>
        <v/>
      </c>
      <c r="J162" s="9" t="str">
        <f t="shared" si="12"/>
        <v/>
      </c>
      <c r="K162" s="10" t="str">
        <f t="shared" si="13"/>
        <v/>
      </c>
      <c r="L162" s="5" t="str">
        <f t="shared" si="14"/>
        <v/>
      </c>
    </row>
    <row r="163" spans="1:12" x14ac:dyDescent="0.3">
      <c r="A163" s="6" t="str">
        <f>IFERROR(INDEX('Raw Data'!$A$2:$A$200,_xlfn.AGGREGATE(15,6,(ROW('Raw Data'!$A$2:$A$200)-ROW('Raw Data'!$A$2)+1)/((COUNTIF($A$4:A162,'Raw Data'!$A$2:$A$200)=0)*('Raw Data'!$A$2:$A$200&lt;&gt;"")),1)),"")</f>
        <v/>
      </c>
      <c r="B163" s="7" t="str">
        <f>IF($A163="","",SUMIFS('Raw Data'!$F:$F,'Raw Data'!$A:$A,$A163,'Raw Data'!$E:$E,B$3))</f>
        <v/>
      </c>
      <c r="C163" s="8" t="str">
        <f>IF($A163="","",SUMIFS('Raw Data'!$J:$J,'Raw Data'!$A:$A,$A163,'Raw Data'!$E:$E,B$3))</f>
        <v/>
      </c>
      <c r="D163" s="7" t="str">
        <f>IF($A163="","",SUMIFS('Raw Data'!$F:$F,'Raw Data'!$A:$A,$A163,'Raw Data'!$E:$E,D$3))</f>
        <v/>
      </c>
      <c r="E163" s="8" t="str">
        <f>IF($A163="","",SUMIFS('Raw Data'!$J:$J,'Raw Data'!$A:$A,$A163,'Raw Data'!$E:$E,D$3))</f>
        <v/>
      </c>
      <c r="F163" s="7" t="str">
        <f>IF($A163="","",SUMIFS('Raw Data'!$F:$F,'Raw Data'!$A:$A,$A163,'Raw Data'!$E:$E,F$3))</f>
        <v/>
      </c>
      <c r="G163" s="8" t="str">
        <f>IF($A163="","",SUMIFS('Raw Data'!$J:$J,'Raw Data'!$A:$A,$A163,'Raw Data'!$E:$E,F$3))</f>
        <v/>
      </c>
      <c r="H163" s="7" t="str">
        <f>IF($A163="","",SUMIFS('Raw Data'!$F:$F,'Raw Data'!$A:$A,$A163,'Raw Data'!$E:$E,H$3))</f>
        <v/>
      </c>
      <c r="I163" s="8" t="str">
        <f>IF($A163="","",SUMIFS('Raw Data'!$J:$J,'Raw Data'!$A:$A,$A163,'Raw Data'!$E:$E,H$3))</f>
        <v/>
      </c>
      <c r="J163" s="9" t="str">
        <f t="shared" si="12"/>
        <v/>
      </c>
      <c r="K163" s="10" t="str">
        <f t="shared" si="13"/>
        <v/>
      </c>
      <c r="L163" s="5" t="str">
        <f t="shared" si="14"/>
        <v/>
      </c>
    </row>
    <row r="164" spans="1:12" x14ac:dyDescent="0.3">
      <c r="A164" s="6" t="str">
        <f>IFERROR(INDEX('Raw Data'!$A$2:$A$200,_xlfn.AGGREGATE(15,6,(ROW('Raw Data'!$A$2:$A$200)-ROW('Raw Data'!$A$2)+1)/((COUNTIF($A$4:A163,'Raw Data'!$A$2:$A$200)=0)*('Raw Data'!$A$2:$A$200&lt;&gt;"")),1)),"")</f>
        <v/>
      </c>
      <c r="B164" s="7" t="str">
        <f>IF($A164="","",SUMIFS('Raw Data'!$F:$F,'Raw Data'!$A:$A,$A164,'Raw Data'!$E:$E,B$3))</f>
        <v/>
      </c>
      <c r="C164" s="8" t="str">
        <f>IF($A164="","",SUMIFS('Raw Data'!$J:$J,'Raw Data'!$A:$A,$A164,'Raw Data'!$E:$E,B$3))</f>
        <v/>
      </c>
      <c r="D164" s="7" t="str">
        <f>IF($A164="","",SUMIFS('Raw Data'!$F:$F,'Raw Data'!$A:$A,$A164,'Raw Data'!$E:$E,D$3))</f>
        <v/>
      </c>
      <c r="E164" s="8" t="str">
        <f>IF($A164="","",SUMIFS('Raw Data'!$J:$J,'Raw Data'!$A:$A,$A164,'Raw Data'!$E:$E,D$3))</f>
        <v/>
      </c>
      <c r="F164" s="7" t="str">
        <f>IF($A164="","",SUMIFS('Raw Data'!$F:$F,'Raw Data'!$A:$A,$A164,'Raw Data'!$E:$E,F$3))</f>
        <v/>
      </c>
      <c r="G164" s="8" t="str">
        <f>IF($A164="","",SUMIFS('Raw Data'!$J:$J,'Raw Data'!$A:$A,$A164,'Raw Data'!$E:$E,F$3))</f>
        <v/>
      </c>
      <c r="H164" s="7" t="str">
        <f>IF($A164="","",SUMIFS('Raw Data'!$F:$F,'Raw Data'!$A:$A,$A164,'Raw Data'!$E:$E,H$3))</f>
        <v/>
      </c>
      <c r="I164" s="8" t="str">
        <f>IF($A164="","",SUMIFS('Raw Data'!$J:$J,'Raw Data'!$A:$A,$A164,'Raw Data'!$E:$E,H$3))</f>
        <v/>
      </c>
      <c r="J164" s="9" t="str">
        <f t="shared" si="12"/>
        <v/>
      </c>
      <c r="K164" s="10" t="str">
        <f t="shared" si="13"/>
        <v/>
      </c>
      <c r="L164" s="5" t="str">
        <f t="shared" si="14"/>
        <v/>
      </c>
    </row>
    <row r="165" spans="1:12" x14ac:dyDescent="0.3">
      <c r="A165" s="6" t="str">
        <f>IFERROR(INDEX('Raw Data'!$A$2:$A$200,_xlfn.AGGREGATE(15,6,(ROW('Raw Data'!$A$2:$A$200)-ROW('Raw Data'!$A$2)+1)/((COUNTIF($A$4:A164,'Raw Data'!$A$2:$A$200)=0)*('Raw Data'!$A$2:$A$200&lt;&gt;"")),1)),"")</f>
        <v/>
      </c>
      <c r="B165" s="7" t="str">
        <f>IF($A165="","",SUMIFS('Raw Data'!$F:$F,'Raw Data'!$A:$A,$A165,'Raw Data'!$E:$E,B$3))</f>
        <v/>
      </c>
      <c r="C165" s="8" t="str">
        <f>IF($A165="","",SUMIFS('Raw Data'!$J:$J,'Raw Data'!$A:$A,$A165,'Raw Data'!$E:$E,B$3))</f>
        <v/>
      </c>
      <c r="D165" s="7" t="str">
        <f>IF($A165="","",SUMIFS('Raw Data'!$F:$F,'Raw Data'!$A:$A,$A165,'Raw Data'!$E:$E,D$3))</f>
        <v/>
      </c>
      <c r="E165" s="8" t="str">
        <f>IF($A165="","",SUMIFS('Raw Data'!$J:$J,'Raw Data'!$A:$A,$A165,'Raw Data'!$E:$E,D$3))</f>
        <v/>
      </c>
      <c r="F165" s="7" t="str">
        <f>IF($A165="","",SUMIFS('Raw Data'!$F:$F,'Raw Data'!$A:$A,$A165,'Raw Data'!$E:$E,F$3))</f>
        <v/>
      </c>
      <c r="G165" s="8" t="str">
        <f>IF($A165="","",SUMIFS('Raw Data'!$J:$J,'Raw Data'!$A:$A,$A165,'Raw Data'!$E:$E,F$3))</f>
        <v/>
      </c>
      <c r="H165" s="7" t="str">
        <f>IF($A165="","",SUMIFS('Raw Data'!$F:$F,'Raw Data'!$A:$A,$A165,'Raw Data'!$E:$E,H$3))</f>
        <v/>
      </c>
      <c r="I165" s="8" t="str">
        <f>IF($A165="","",SUMIFS('Raw Data'!$J:$J,'Raw Data'!$A:$A,$A165,'Raw Data'!$E:$E,H$3))</f>
        <v/>
      </c>
      <c r="J165" s="9" t="str">
        <f t="shared" ref="J165:J196" si="15">IF($A165="","",B165+D165+F165+H165)</f>
        <v/>
      </c>
      <c r="K165" s="10" t="str">
        <f t="shared" ref="K165:K196" si="16">IF($A165="","",C165+E165+G165+I165)</f>
        <v/>
      </c>
      <c r="L165" s="5" t="str">
        <f t="shared" ref="L165:L196" si="17">IF($A165="","",J165+K165)</f>
        <v/>
      </c>
    </row>
    <row r="166" spans="1:12" x14ac:dyDescent="0.3">
      <c r="A166" s="6" t="str">
        <f>IFERROR(INDEX('Raw Data'!$A$2:$A$200,_xlfn.AGGREGATE(15,6,(ROW('Raw Data'!$A$2:$A$200)-ROW('Raw Data'!$A$2)+1)/((COUNTIF($A$4:A165,'Raw Data'!$A$2:$A$200)=0)*('Raw Data'!$A$2:$A$200&lt;&gt;"")),1)),"")</f>
        <v/>
      </c>
      <c r="B166" s="7" t="str">
        <f>IF($A166="","",SUMIFS('Raw Data'!$F:$F,'Raw Data'!$A:$A,$A166,'Raw Data'!$E:$E,B$3))</f>
        <v/>
      </c>
      <c r="C166" s="8" t="str">
        <f>IF($A166="","",SUMIFS('Raw Data'!$J:$J,'Raw Data'!$A:$A,$A166,'Raw Data'!$E:$E,B$3))</f>
        <v/>
      </c>
      <c r="D166" s="7" t="str">
        <f>IF($A166="","",SUMIFS('Raw Data'!$F:$F,'Raw Data'!$A:$A,$A166,'Raw Data'!$E:$E,D$3))</f>
        <v/>
      </c>
      <c r="E166" s="8" t="str">
        <f>IF($A166="","",SUMIFS('Raw Data'!$J:$J,'Raw Data'!$A:$A,$A166,'Raw Data'!$E:$E,D$3))</f>
        <v/>
      </c>
      <c r="F166" s="7" t="str">
        <f>IF($A166="","",SUMIFS('Raw Data'!$F:$F,'Raw Data'!$A:$A,$A166,'Raw Data'!$E:$E,F$3))</f>
        <v/>
      </c>
      <c r="G166" s="8" t="str">
        <f>IF($A166="","",SUMIFS('Raw Data'!$J:$J,'Raw Data'!$A:$A,$A166,'Raw Data'!$E:$E,F$3))</f>
        <v/>
      </c>
      <c r="H166" s="7" t="str">
        <f>IF($A166="","",SUMIFS('Raw Data'!$F:$F,'Raw Data'!$A:$A,$A166,'Raw Data'!$E:$E,H$3))</f>
        <v/>
      </c>
      <c r="I166" s="8" t="str">
        <f>IF($A166="","",SUMIFS('Raw Data'!$J:$J,'Raw Data'!$A:$A,$A166,'Raw Data'!$E:$E,H$3))</f>
        <v/>
      </c>
      <c r="J166" s="9" t="str">
        <f t="shared" si="15"/>
        <v/>
      </c>
      <c r="K166" s="10" t="str">
        <f t="shared" si="16"/>
        <v/>
      </c>
      <c r="L166" s="5" t="str">
        <f t="shared" si="17"/>
        <v/>
      </c>
    </row>
    <row r="167" spans="1:12" x14ac:dyDescent="0.3">
      <c r="A167" s="6" t="str">
        <f>IFERROR(INDEX('Raw Data'!$A$2:$A$200,_xlfn.AGGREGATE(15,6,(ROW('Raw Data'!$A$2:$A$200)-ROW('Raw Data'!$A$2)+1)/((COUNTIF($A$4:A166,'Raw Data'!$A$2:$A$200)=0)*('Raw Data'!$A$2:$A$200&lt;&gt;"")),1)),"")</f>
        <v/>
      </c>
      <c r="B167" s="7" t="str">
        <f>IF($A167="","",SUMIFS('Raw Data'!$F:$F,'Raw Data'!$A:$A,$A167,'Raw Data'!$E:$E,B$3))</f>
        <v/>
      </c>
      <c r="C167" s="8" t="str">
        <f>IF($A167="","",SUMIFS('Raw Data'!$J:$J,'Raw Data'!$A:$A,$A167,'Raw Data'!$E:$E,B$3))</f>
        <v/>
      </c>
      <c r="D167" s="7" t="str">
        <f>IF($A167="","",SUMIFS('Raw Data'!$F:$F,'Raw Data'!$A:$A,$A167,'Raw Data'!$E:$E,D$3))</f>
        <v/>
      </c>
      <c r="E167" s="8" t="str">
        <f>IF($A167="","",SUMIFS('Raw Data'!$J:$J,'Raw Data'!$A:$A,$A167,'Raw Data'!$E:$E,D$3))</f>
        <v/>
      </c>
      <c r="F167" s="7" t="str">
        <f>IF($A167="","",SUMIFS('Raw Data'!$F:$F,'Raw Data'!$A:$A,$A167,'Raw Data'!$E:$E,F$3))</f>
        <v/>
      </c>
      <c r="G167" s="8" t="str">
        <f>IF($A167="","",SUMIFS('Raw Data'!$J:$J,'Raw Data'!$A:$A,$A167,'Raw Data'!$E:$E,F$3))</f>
        <v/>
      </c>
      <c r="H167" s="7" t="str">
        <f>IF($A167="","",SUMIFS('Raw Data'!$F:$F,'Raw Data'!$A:$A,$A167,'Raw Data'!$E:$E,H$3))</f>
        <v/>
      </c>
      <c r="I167" s="8" t="str">
        <f>IF($A167="","",SUMIFS('Raw Data'!$J:$J,'Raw Data'!$A:$A,$A167,'Raw Data'!$E:$E,H$3))</f>
        <v/>
      </c>
      <c r="J167" s="9" t="str">
        <f t="shared" si="15"/>
        <v/>
      </c>
      <c r="K167" s="10" t="str">
        <f t="shared" si="16"/>
        <v/>
      </c>
      <c r="L167" s="5" t="str">
        <f t="shared" si="17"/>
        <v/>
      </c>
    </row>
    <row r="168" spans="1:12" x14ac:dyDescent="0.3">
      <c r="A168" s="6" t="str">
        <f>IFERROR(INDEX('Raw Data'!$A$2:$A$200,_xlfn.AGGREGATE(15,6,(ROW('Raw Data'!$A$2:$A$200)-ROW('Raw Data'!$A$2)+1)/((COUNTIF($A$4:A167,'Raw Data'!$A$2:$A$200)=0)*('Raw Data'!$A$2:$A$200&lt;&gt;"")),1)),"")</f>
        <v/>
      </c>
      <c r="B168" s="7" t="str">
        <f>IF($A168="","",SUMIFS('Raw Data'!$F:$F,'Raw Data'!$A:$A,$A168,'Raw Data'!$E:$E,B$3))</f>
        <v/>
      </c>
      <c r="C168" s="8" t="str">
        <f>IF($A168="","",SUMIFS('Raw Data'!$J:$J,'Raw Data'!$A:$A,$A168,'Raw Data'!$E:$E,B$3))</f>
        <v/>
      </c>
      <c r="D168" s="7" t="str">
        <f>IF($A168="","",SUMIFS('Raw Data'!$F:$F,'Raw Data'!$A:$A,$A168,'Raw Data'!$E:$E,D$3))</f>
        <v/>
      </c>
      <c r="E168" s="8" t="str">
        <f>IF($A168="","",SUMIFS('Raw Data'!$J:$J,'Raw Data'!$A:$A,$A168,'Raw Data'!$E:$E,D$3))</f>
        <v/>
      </c>
      <c r="F168" s="7" t="str">
        <f>IF($A168="","",SUMIFS('Raw Data'!$F:$F,'Raw Data'!$A:$A,$A168,'Raw Data'!$E:$E,F$3))</f>
        <v/>
      </c>
      <c r="G168" s="8" t="str">
        <f>IF($A168="","",SUMIFS('Raw Data'!$J:$J,'Raw Data'!$A:$A,$A168,'Raw Data'!$E:$E,F$3))</f>
        <v/>
      </c>
      <c r="H168" s="7" t="str">
        <f>IF($A168="","",SUMIFS('Raw Data'!$F:$F,'Raw Data'!$A:$A,$A168,'Raw Data'!$E:$E,H$3))</f>
        <v/>
      </c>
      <c r="I168" s="8" t="str">
        <f>IF($A168="","",SUMIFS('Raw Data'!$J:$J,'Raw Data'!$A:$A,$A168,'Raw Data'!$E:$E,H$3))</f>
        <v/>
      </c>
      <c r="J168" s="9" t="str">
        <f t="shared" si="15"/>
        <v/>
      </c>
      <c r="K168" s="10" t="str">
        <f t="shared" si="16"/>
        <v/>
      </c>
      <c r="L168" s="5" t="str">
        <f t="shared" si="17"/>
        <v/>
      </c>
    </row>
    <row r="169" spans="1:12" x14ac:dyDescent="0.3">
      <c r="A169" s="6" t="str">
        <f>IFERROR(INDEX('Raw Data'!$A$2:$A$200,_xlfn.AGGREGATE(15,6,(ROW('Raw Data'!$A$2:$A$200)-ROW('Raw Data'!$A$2)+1)/((COUNTIF($A$4:A168,'Raw Data'!$A$2:$A$200)=0)*('Raw Data'!$A$2:$A$200&lt;&gt;"")),1)),"")</f>
        <v/>
      </c>
      <c r="B169" s="7" t="str">
        <f>IF($A169="","",SUMIFS('Raw Data'!$F:$F,'Raw Data'!$A:$A,$A169,'Raw Data'!$E:$E,B$3))</f>
        <v/>
      </c>
      <c r="C169" s="8" t="str">
        <f>IF($A169="","",SUMIFS('Raw Data'!$J:$J,'Raw Data'!$A:$A,$A169,'Raw Data'!$E:$E,B$3))</f>
        <v/>
      </c>
      <c r="D169" s="7" t="str">
        <f>IF($A169="","",SUMIFS('Raw Data'!$F:$F,'Raw Data'!$A:$A,$A169,'Raw Data'!$E:$E,D$3))</f>
        <v/>
      </c>
      <c r="E169" s="8" t="str">
        <f>IF($A169="","",SUMIFS('Raw Data'!$J:$J,'Raw Data'!$A:$A,$A169,'Raw Data'!$E:$E,D$3))</f>
        <v/>
      </c>
      <c r="F169" s="7" t="str">
        <f>IF($A169="","",SUMIFS('Raw Data'!$F:$F,'Raw Data'!$A:$A,$A169,'Raw Data'!$E:$E,F$3))</f>
        <v/>
      </c>
      <c r="G169" s="8" t="str">
        <f>IF($A169="","",SUMIFS('Raw Data'!$J:$J,'Raw Data'!$A:$A,$A169,'Raw Data'!$E:$E,F$3))</f>
        <v/>
      </c>
      <c r="H169" s="7" t="str">
        <f>IF($A169="","",SUMIFS('Raw Data'!$F:$F,'Raw Data'!$A:$A,$A169,'Raw Data'!$E:$E,H$3))</f>
        <v/>
      </c>
      <c r="I169" s="8" t="str">
        <f>IF($A169="","",SUMIFS('Raw Data'!$J:$J,'Raw Data'!$A:$A,$A169,'Raw Data'!$E:$E,H$3))</f>
        <v/>
      </c>
      <c r="J169" s="9" t="str">
        <f t="shared" si="15"/>
        <v/>
      </c>
      <c r="K169" s="10" t="str">
        <f t="shared" si="16"/>
        <v/>
      </c>
      <c r="L169" s="5" t="str">
        <f t="shared" si="17"/>
        <v/>
      </c>
    </row>
    <row r="170" spans="1:12" x14ac:dyDescent="0.3">
      <c r="A170" s="6" t="str">
        <f>IFERROR(INDEX('Raw Data'!$A$2:$A$200,_xlfn.AGGREGATE(15,6,(ROW('Raw Data'!$A$2:$A$200)-ROW('Raw Data'!$A$2)+1)/((COUNTIF($A$4:A169,'Raw Data'!$A$2:$A$200)=0)*('Raw Data'!$A$2:$A$200&lt;&gt;"")),1)),"")</f>
        <v/>
      </c>
      <c r="B170" s="7" t="str">
        <f>IF($A170="","",SUMIFS('Raw Data'!$F:$F,'Raw Data'!$A:$A,$A170,'Raw Data'!$E:$E,B$3))</f>
        <v/>
      </c>
      <c r="C170" s="8" t="str">
        <f>IF($A170="","",SUMIFS('Raw Data'!$J:$J,'Raw Data'!$A:$A,$A170,'Raw Data'!$E:$E,B$3))</f>
        <v/>
      </c>
      <c r="D170" s="7" t="str">
        <f>IF($A170="","",SUMIFS('Raw Data'!$F:$F,'Raw Data'!$A:$A,$A170,'Raw Data'!$E:$E,D$3))</f>
        <v/>
      </c>
      <c r="E170" s="8" t="str">
        <f>IF($A170="","",SUMIFS('Raw Data'!$J:$J,'Raw Data'!$A:$A,$A170,'Raw Data'!$E:$E,D$3))</f>
        <v/>
      </c>
      <c r="F170" s="7" t="str">
        <f>IF($A170="","",SUMIFS('Raw Data'!$F:$F,'Raw Data'!$A:$A,$A170,'Raw Data'!$E:$E,F$3))</f>
        <v/>
      </c>
      <c r="G170" s="8" t="str">
        <f>IF($A170="","",SUMIFS('Raw Data'!$J:$J,'Raw Data'!$A:$A,$A170,'Raw Data'!$E:$E,F$3))</f>
        <v/>
      </c>
      <c r="H170" s="7" t="str">
        <f>IF($A170="","",SUMIFS('Raw Data'!$F:$F,'Raw Data'!$A:$A,$A170,'Raw Data'!$E:$E,H$3))</f>
        <v/>
      </c>
      <c r="I170" s="8" t="str">
        <f>IF($A170="","",SUMIFS('Raw Data'!$J:$J,'Raw Data'!$A:$A,$A170,'Raw Data'!$E:$E,H$3))</f>
        <v/>
      </c>
      <c r="J170" s="9" t="str">
        <f t="shared" si="15"/>
        <v/>
      </c>
      <c r="K170" s="10" t="str">
        <f t="shared" si="16"/>
        <v/>
      </c>
      <c r="L170" s="5" t="str">
        <f t="shared" si="17"/>
        <v/>
      </c>
    </row>
    <row r="171" spans="1:12" x14ac:dyDescent="0.3">
      <c r="A171" s="6" t="str">
        <f>IFERROR(INDEX('Raw Data'!$A$2:$A$200,_xlfn.AGGREGATE(15,6,(ROW('Raw Data'!$A$2:$A$200)-ROW('Raw Data'!$A$2)+1)/((COUNTIF($A$4:A170,'Raw Data'!$A$2:$A$200)=0)*('Raw Data'!$A$2:$A$200&lt;&gt;"")),1)),"")</f>
        <v/>
      </c>
      <c r="B171" s="7" t="str">
        <f>IF($A171="","",SUMIFS('Raw Data'!$F:$F,'Raw Data'!$A:$A,$A171,'Raw Data'!$E:$E,B$3))</f>
        <v/>
      </c>
      <c r="C171" s="8" t="str">
        <f>IF($A171="","",SUMIFS('Raw Data'!$J:$J,'Raw Data'!$A:$A,$A171,'Raw Data'!$E:$E,B$3))</f>
        <v/>
      </c>
      <c r="D171" s="7" t="str">
        <f>IF($A171="","",SUMIFS('Raw Data'!$F:$F,'Raw Data'!$A:$A,$A171,'Raw Data'!$E:$E,D$3))</f>
        <v/>
      </c>
      <c r="E171" s="8" t="str">
        <f>IF($A171="","",SUMIFS('Raw Data'!$J:$J,'Raw Data'!$A:$A,$A171,'Raw Data'!$E:$E,D$3))</f>
        <v/>
      </c>
      <c r="F171" s="7" t="str">
        <f>IF($A171="","",SUMIFS('Raw Data'!$F:$F,'Raw Data'!$A:$A,$A171,'Raw Data'!$E:$E,F$3))</f>
        <v/>
      </c>
      <c r="G171" s="8" t="str">
        <f>IF($A171="","",SUMIFS('Raw Data'!$J:$J,'Raw Data'!$A:$A,$A171,'Raw Data'!$E:$E,F$3))</f>
        <v/>
      </c>
      <c r="H171" s="7" t="str">
        <f>IF($A171="","",SUMIFS('Raw Data'!$F:$F,'Raw Data'!$A:$A,$A171,'Raw Data'!$E:$E,H$3))</f>
        <v/>
      </c>
      <c r="I171" s="8" t="str">
        <f>IF($A171="","",SUMIFS('Raw Data'!$J:$J,'Raw Data'!$A:$A,$A171,'Raw Data'!$E:$E,H$3))</f>
        <v/>
      </c>
      <c r="J171" s="9" t="str">
        <f t="shared" si="15"/>
        <v/>
      </c>
      <c r="K171" s="10" t="str">
        <f t="shared" si="16"/>
        <v/>
      </c>
      <c r="L171" s="5" t="str">
        <f t="shared" si="17"/>
        <v/>
      </c>
    </row>
    <row r="172" spans="1:12" x14ac:dyDescent="0.3">
      <c r="A172" s="6" t="str">
        <f>IFERROR(INDEX('Raw Data'!$A$2:$A$200,_xlfn.AGGREGATE(15,6,(ROW('Raw Data'!$A$2:$A$200)-ROW('Raw Data'!$A$2)+1)/((COUNTIF($A$4:A171,'Raw Data'!$A$2:$A$200)=0)*('Raw Data'!$A$2:$A$200&lt;&gt;"")),1)),"")</f>
        <v/>
      </c>
      <c r="B172" s="7" t="str">
        <f>IF($A172="","",SUMIFS('Raw Data'!$F:$F,'Raw Data'!$A:$A,$A172,'Raw Data'!$E:$E,B$3))</f>
        <v/>
      </c>
      <c r="C172" s="8" t="str">
        <f>IF($A172="","",SUMIFS('Raw Data'!$J:$J,'Raw Data'!$A:$A,$A172,'Raw Data'!$E:$E,B$3))</f>
        <v/>
      </c>
      <c r="D172" s="7" t="str">
        <f>IF($A172="","",SUMIFS('Raw Data'!$F:$F,'Raw Data'!$A:$A,$A172,'Raw Data'!$E:$E,D$3))</f>
        <v/>
      </c>
      <c r="E172" s="8" t="str">
        <f>IF($A172="","",SUMIFS('Raw Data'!$J:$J,'Raw Data'!$A:$A,$A172,'Raw Data'!$E:$E,D$3))</f>
        <v/>
      </c>
      <c r="F172" s="7" t="str">
        <f>IF($A172="","",SUMIFS('Raw Data'!$F:$F,'Raw Data'!$A:$A,$A172,'Raw Data'!$E:$E,F$3))</f>
        <v/>
      </c>
      <c r="G172" s="8" t="str">
        <f>IF($A172="","",SUMIFS('Raw Data'!$J:$J,'Raw Data'!$A:$A,$A172,'Raw Data'!$E:$E,F$3))</f>
        <v/>
      </c>
      <c r="H172" s="7" t="str">
        <f>IF($A172="","",SUMIFS('Raw Data'!$F:$F,'Raw Data'!$A:$A,$A172,'Raw Data'!$E:$E,H$3))</f>
        <v/>
      </c>
      <c r="I172" s="8" t="str">
        <f>IF($A172="","",SUMIFS('Raw Data'!$J:$J,'Raw Data'!$A:$A,$A172,'Raw Data'!$E:$E,H$3))</f>
        <v/>
      </c>
      <c r="J172" s="9" t="str">
        <f t="shared" si="15"/>
        <v/>
      </c>
      <c r="K172" s="10" t="str">
        <f t="shared" si="16"/>
        <v/>
      </c>
      <c r="L172" s="5" t="str">
        <f t="shared" si="17"/>
        <v/>
      </c>
    </row>
    <row r="173" spans="1:12" x14ac:dyDescent="0.3">
      <c r="A173" s="6" t="str">
        <f>IFERROR(INDEX('Raw Data'!$A$2:$A$200,_xlfn.AGGREGATE(15,6,(ROW('Raw Data'!$A$2:$A$200)-ROW('Raw Data'!$A$2)+1)/((COUNTIF($A$4:A172,'Raw Data'!$A$2:$A$200)=0)*('Raw Data'!$A$2:$A$200&lt;&gt;"")),1)),"")</f>
        <v/>
      </c>
      <c r="B173" s="7" t="str">
        <f>IF($A173="","",SUMIFS('Raw Data'!$F:$F,'Raw Data'!$A:$A,$A173,'Raw Data'!$E:$E,B$3))</f>
        <v/>
      </c>
      <c r="C173" s="8" t="str">
        <f>IF($A173="","",SUMIFS('Raw Data'!$J:$J,'Raw Data'!$A:$A,$A173,'Raw Data'!$E:$E,B$3))</f>
        <v/>
      </c>
      <c r="D173" s="7" t="str">
        <f>IF($A173="","",SUMIFS('Raw Data'!$F:$F,'Raw Data'!$A:$A,$A173,'Raw Data'!$E:$E,D$3))</f>
        <v/>
      </c>
      <c r="E173" s="8" t="str">
        <f>IF($A173="","",SUMIFS('Raw Data'!$J:$J,'Raw Data'!$A:$A,$A173,'Raw Data'!$E:$E,D$3))</f>
        <v/>
      </c>
      <c r="F173" s="7" t="str">
        <f>IF($A173="","",SUMIFS('Raw Data'!$F:$F,'Raw Data'!$A:$A,$A173,'Raw Data'!$E:$E,F$3))</f>
        <v/>
      </c>
      <c r="G173" s="8" t="str">
        <f>IF($A173="","",SUMIFS('Raw Data'!$J:$J,'Raw Data'!$A:$A,$A173,'Raw Data'!$E:$E,F$3))</f>
        <v/>
      </c>
      <c r="H173" s="7" t="str">
        <f>IF($A173="","",SUMIFS('Raw Data'!$F:$F,'Raw Data'!$A:$A,$A173,'Raw Data'!$E:$E,H$3))</f>
        <v/>
      </c>
      <c r="I173" s="8" t="str">
        <f>IF($A173="","",SUMIFS('Raw Data'!$J:$J,'Raw Data'!$A:$A,$A173,'Raw Data'!$E:$E,H$3))</f>
        <v/>
      </c>
      <c r="J173" s="9" t="str">
        <f t="shared" si="15"/>
        <v/>
      </c>
      <c r="K173" s="10" t="str">
        <f t="shared" si="16"/>
        <v/>
      </c>
      <c r="L173" s="5" t="str">
        <f t="shared" si="17"/>
        <v/>
      </c>
    </row>
    <row r="174" spans="1:12" x14ac:dyDescent="0.3">
      <c r="A174" s="6" t="str">
        <f>IFERROR(INDEX('Raw Data'!$A$2:$A$200,_xlfn.AGGREGATE(15,6,(ROW('Raw Data'!$A$2:$A$200)-ROW('Raw Data'!$A$2)+1)/((COUNTIF($A$4:A173,'Raw Data'!$A$2:$A$200)=0)*('Raw Data'!$A$2:$A$200&lt;&gt;"")),1)),"")</f>
        <v/>
      </c>
      <c r="B174" s="7" t="str">
        <f>IF($A174="","",SUMIFS('Raw Data'!$F:$F,'Raw Data'!$A:$A,$A174,'Raw Data'!$E:$E,B$3))</f>
        <v/>
      </c>
      <c r="C174" s="8" t="str">
        <f>IF($A174="","",SUMIFS('Raw Data'!$J:$J,'Raw Data'!$A:$A,$A174,'Raw Data'!$E:$E,B$3))</f>
        <v/>
      </c>
      <c r="D174" s="7" t="str">
        <f>IF($A174="","",SUMIFS('Raw Data'!$F:$F,'Raw Data'!$A:$A,$A174,'Raw Data'!$E:$E,D$3))</f>
        <v/>
      </c>
      <c r="E174" s="8" t="str">
        <f>IF($A174="","",SUMIFS('Raw Data'!$J:$J,'Raw Data'!$A:$A,$A174,'Raw Data'!$E:$E,D$3))</f>
        <v/>
      </c>
      <c r="F174" s="7" t="str">
        <f>IF($A174="","",SUMIFS('Raw Data'!$F:$F,'Raw Data'!$A:$A,$A174,'Raw Data'!$E:$E,F$3))</f>
        <v/>
      </c>
      <c r="G174" s="8" t="str">
        <f>IF($A174="","",SUMIFS('Raw Data'!$J:$J,'Raw Data'!$A:$A,$A174,'Raw Data'!$E:$E,F$3))</f>
        <v/>
      </c>
      <c r="H174" s="7" t="str">
        <f>IF($A174="","",SUMIFS('Raw Data'!$F:$F,'Raw Data'!$A:$A,$A174,'Raw Data'!$E:$E,H$3))</f>
        <v/>
      </c>
      <c r="I174" s="8" t="str">
        <f>IF($A174="","",SUMIFS('Raw Data'!$J:$J,'Raw Data'!$A:$A,$A174,'Raw Data'!$E:$E,H$3))</f>
        <v/>
      </c>
      <c r="J174" s="9" t="str">
        <f t="shared" si="15"/>
        <v/>
      </c>
      <c r="K174" s="10" t="str">
        <f t="shared" si="16"/>
        <v/>
      </c>
      <c r="L174" s="5" t="str">
        <f t="shared" si="17"/>
        <v/>
      </c>
    </row>
    <row r="175" spans="1:12" x14ac:dyDescent="0.3">
      <c r="A175" s="6" t="str">
        <f>IFERROR(INDEX('Raw Data'!$A$2:$A$200,_xlfn.AGGREGATE(15,6,(ROW('Raw Data'!$A$2:$A$200)-ROW('Raw Data'!$A$2)+1)/((COUNTIF($A$4:A174,'Raw Data'!$A$2:$A$200)=0)*('Raw Data'!$A$2:$A$200&lt;&gt;"")),1)),"")</f>
        <v/>
      </c>
      <c r="B175" s="7" t="str">
        <f>IF($A175="","",SUMIFS('Raw Data'!$F:$F,'Raw Data'!$A:$A,$A175,'Raw Data'!$E:$E,B$3))</f>
        <v/>
      </c>
      <c r="C175" s="8" t="str">
        <f>IF($A175="","",SUMIFS('Raw Data'!$J:$J,'Raw Data'!$A:$A,$A175,'Raw Data'!$E:$E,B$3))</f>
        <v/>
      </c>
      <c r="D175" s="7" t="str">
        <f>IF($A175="","",SUMIFS('Raw Data'!$F:$F,'Raw Data'!$A:$A,$A175,'Raw Data'!$E:$E,D$3))</f>
        <v/>
      </c>
      <c r="E175" s="8" t="str">
        <f>IF($A175="","",SUMIFS('Raw Data'!$J:$J,'Raw Data'!$A:$A,$A175,'Raw Data'!$E:$E,D$3))</f>
        <v/>
      </c>
      <c r="F175" s="7" t="str">
        <f>IF($A175="","",SUMIFS('Raw Data'!$F:$F,'Raw Data'!$A:$A,$A175,'Raw Data'!$E:$E,F$3))</f>
        <v/>
      </c>
      <c r="G175" s="8" t="str">
        <f>IF($A175="","",SUMIFS('Raw Data'!$J:$J,'Raw Data'!$A:$A,$A175,'Raw Data'!$E:$E,F$3))</f>
        <v/>
      </c>
      <c r="H175" s="7" t="str">
        <f>IF($A175="","",SUMIFS('Raw Data'!$F:$F,'Raw Data'!$A:$A,$A175,'Raw Data'!$E:$E,H$3))</f>
        <v/>
      </c>
      <c r="I175" s="8" t="str">
        <f>IF($A175="","",SUMIFS('Raw Data'!$J:$J,'Raw Data'!$A:$A,$A175,'Raw Data'!$E:$E,H$3))</f>
        <v/>
      </c>
      <c r="J175" s="9" t="str">
        <f t="shared" si="15"/>
        <v/>
      </c>
      <c r="K175" s="10" t="str">
        <f t="shared" si="16"/>
        <v/>
      </c>
      <c r="L175" s="5" t="str">
        <f t="shared" si="17"/>
        <v/>
      </c>
    </row>
    <row r="176" spans="1:12" x14ac:dyDescent="0.3">
      <c r="A176" s="6" t="str">
        <f>IFERROR(INDEX('Raw Data'!$A$2:$A$200,_xlfn.AGGREGATE(15,6,(ROW('Raw Data'!$A$2:$A$200)-ROW('Raw Data'!$A$2)+1)/((COUNTIF($A$4:A175,'Raw Data'!$A$2:$A$200)=0)*('Raw Data'!$A$2:$A$200&lt;&gt;"")),1)),"")</f>
        <v/>
      </c>
      <c r="B176" s="7" t="str">
        <f>IF($A176="","",SUMIFS('Raw Data'!$F:$F,'Raw Data'!$A:$A,$A176,'Raw Data'!$E:$E,B$3))</f>
        <v/>
      </c>
      <c r="C176" s="8" t="str">
        <f>IF($A176="","",SUMIFS('Raw Data'!$J:$J,'Raw Data'!$A:$A,$A176,'Raw Data'!$E:$E,B$3))</f>
        <v/>
      </c>
      <c r="D176" s="7" t="str">
        <f>IF($A176="","",SUMIFS('Raw Data'!$F:$F,'Raw Data'!$A:$A,$A176,'Raw Data'!$E:$E,D$3))</f>
        <v/>
      </c>
      <c r="E176" s="8" t="str">
        <f>IF($A176="","",SUMIFS('Raw Data'!$J:$J,'Raw Data'!$A:$A,$A176,'Raw Data'!$E:$E,D$3))</f>
        <v/>
      </c>
      <c r="F176" s="7" t="str">
        <f>IF($A176="","",SUMIFS('Raw Data'!$F:$F,'Raw Data'!$A:$A,$A176,'Raw Data'!$E:$E,F$3))</f>
        <v/>
      </c>
      <c r="G176" s="8" t="str">
        <f>IF($A176="","",SUMIFS('Raw Data'!$J:$J,'Raw Data'!$A:$A,$A176,'Raw Data'!$E:$E,F$3))</f>
        <v/>
      </c>
      <c r="H176" s="7" t="str">
        <f>IF($A176="","",SUMIFS('Raw Data'!$F:$F,'Raw Data'!$A:$A,$A176,'Raw Data'!$E:$E,H$3))</f>
        <v/>
      </c>
      <c r="I176" s="8" t="str">
        <f>IF($A176="","",SUMIFS('Raw Data'!$J:$J,'Raw Data'!$A:$A,$A176,'Raw Data'!$E:$E,H$3))</f>
        <v/>
      </c>
      <c r="J176" s="9" t="str">
        <f t="shared" si="15"/>
        <v/>
      </c>
      <c r="K176" s="10" t="str">
        <f t="shared" si="16"/>
        <v/>
      </c>
      <c r="L176" s="5" t="str">
        <f t="shared" si="17"/>
        <v/>
      </c>
    </row>
    <row r="177" spans="1:12" x14ac:dyDescent="0.3">
      <c r="A177" s="6" t="str">
        <f>IFERROR(INDEX('Raw Data'!$A$2:$A$200,_xlfn.AGGREGATE(15,6,(ROW('Raw Data'!$A$2:$A$200)-ROW('Raw Data'!$A$2)+1)/((COUNTIF($A$4:A176,'Raw Data'!$A$2:$A$200)=0)*('Raw Data'!$A$2:$A$200&lt;&gt;"")),1)),"")</f>
        <v/>
      </c>
      <c r="B177" s="7" t="str">
        <f>IF($A177="","",SUMIFS('Raw Data'!$F:$F,'Raw Data'!$A:$A,$A177,'Raw Data'!$E:$E,B$3))</f>
        <v/>
      </c>
      <c r="C177" s="8" t="str">
        <f>IF($A177="","",SUMIFS('Raw Data'!$J:$J,'Raw Data'!$A:$A,$A177,'Raw Data'!$E:$E,B$3))</f>
        <v/>
      </c>
      <c r="D177" s="7" t="str">
        <f>IF($A177="","",SUMIFS('Raw Data'!$F:$F,'Raw Data'!$A:$A,$A177,'Raw Data'!$E:$E,D$3))</f>
        <v/>
      </c>
      <c r="E177" s="8" t="str">
        <f>IF($A177="","",SUMIFS('Raw Data'!$J:$J,'Raw Data'!$A:$A,$A177,'Raw Data'!$E:$E,D$3))</f>
        <v/>
      </c>
      <c r="F177" s="7" t="str">
        <f>IF($A177="","",SUMIFS('Raw Data'!$F:$F,'Raw Data'!$A:$A,$A177,'Raw Data'!$E:$E,F$3))</f>
        <v/>
      </c>
      <c r="G177" s="8" t="str">
        <f>IF($A177="","",SUMIFS('Raw Data'!$J:$J,'Raw Data'!$A:$A,$A177,'Raw Data'!$E:$E,F$3))</f>
        <v/>
      </c>
      <c r="H177" s="7" t="str">
        <f>IF($A177="","",SUMIFS('Raw Data'!$F:$F,'Raw Data'!$A:$A,$A177,'Raw Data'!$E:$E,H$3))</f>
        <v/>
      </c>
      <c r="I177" s="8" t="str">
        <f>IF($A177="","",SUMIFS('Raw Data'!$J:$J,'Raw Data'!$A:$A,$A177,'Raw Data'!$E:$E,H$3))</f>
        <v/>
      </c>
      <c r="J177" s="9" t="str">
        <f t="shared" si="15"/>
        <v/>
      </c>
      <c r="K177" s="10" t="str">
        <f t="shared" si="16"/>
        <v/>
      </c>
      <c r="L177" s="5" t="str">
        <f t="shared" si="17"/>
        <v/>
      </c>
    </row>
    <row r="178" spans="1:12" x14ac:dyDescent="0.3">
      <c r="A178" s="6" t="str">
        <f>IFERROR(INDEX('Raw Data'!$A$2:$A$200,_xlfn.AGGREGATE(15,6,(ROW('Raw Data'!$A$2:$A$200)-ROW('Raw Data'!$A$2)+1)/((COUNTIF($A$4:A177,'Raw Data'!$A$2:$A$200)=0)*('Raw Data'!$A$2:$A$200&lt;&gt;"")),1)),"")</f>
        <v/>
      </c>
      <c r="B178" s="7" t="str">
        <f>IF($A178="","",SUMIFS('Raw Data'!$F:$F,'Raw Data'!$A:$A,$A178,'Raw Data'!$E:$E,B$3))</f>
        <v/>
      </c>
      <c r="C178" s="8" t="str">
        <f>IF($A178="","",SUMIFS('Raw Data'!$J:$J,'Raw Data'!$A:$A,$A178,'Raw Data'!$E:$E,B$3))</f>
        <v/>
      </c>
      <c r="D178" s="7" t="str">
        <f>IF($A178="","",SUMIFS('Raw Data'!$F:$F,'Raw Data'!$A:$A,$A178,'Raw Data'!$E:$E,D$3))</f>
        <v/>
      </c>
      <c r="E178" s="8" t="str">
        <f>IF($A178="","",SUMIFS('Raw Data'!$J:$J,'Raw Data'!$A:$A,$A178,'Raw Data'!$E:$E,D$3))</f>
        <v/>
      </c>
      <c r="F178" s="7" t="str">
        <f>IF($A178="","",SUMIFS('Raw Data'!$F:$F,'Raw Data'!$A:$A,$A178,'Raw Data'!$E:$E,F$3))</f>
        <v/>
      </c>
      <c r="G178" s="8" t="str">
        <f>IF($A178="","",SUMIFS('Raw Data'!$J:$J,'Raw Data'!$A:$A,$A178,'Raw Data'!$E:$E,F$3))</f>
        <v/>
      </c>
      <c r="H178" s="7" t="str">
        <f>IF($A178="","",SUMIFS('Raw Data'!$F:$F,'Raw Data'!$A:$A,$A178,'Raw Data'!$E:$E,H$3))</f>
        <v/>
      </c>
      <c r="I178" s="8" t="str">
        <f>IF($A178="","",SUMIFS('Raw Data'!$J:$J,'Raw Data'!$A:$A,$A178,'Raw Data'!$E:$E,H$3))</f>
        <v/>
      </c>
      <c r="J178" s="9" t="str">
        <f t="shared" si="15"/>
        <v/>
      </c>
      <c r="K178" s="10" t="str">
        <f t="shared" si="16"/>
        <v/>
      </c>
      <c r="L178" s="5" t="str">
        <f t="shared" si="17"/>
        <v/>
      </c>
    </row>
    <row r="179" spans="1:12" x14ac:dyDescent="0.3">
      <c r="A179" s="6" t="str">
        <f>IFERROR(INDEX('Raw Data'!$A$2:$A$200,_xlfn.AGGREGATE(15,6,(ROW('Raw Data'!$A$2:$A$200)-ROW('Raw Data'!$A$2)+1)/((COUNTIF($A$4:A178,'Raw Data'!$A$2:$A$200)=0)*('Raw Data'!$A$2:$A$200&lt;&gt;"")),1)),"")</f>
        <v/>
      </c>
      <c r="B179" s="7" t="str">
        <f>IF($A179="","",SUMIFS('Raw Data'!$F:$F,'Raw Data'!$A:$A,$A179,'Raw Data'!$E:$E,B$3))</f>
        <v/>
      </c>
      <c r="C179" s="8" t="str">
        <f>IF($A179="","",SUMIFS('Raw Data'!$J:$J,'Raw Data'!$A:$A,$A179,'Raw Data'!$E:$E,B$3))</f>
        <v/>
      </c>
      <c r="D179" s="7" t="str">
        <f>IF($A179="","",SUMIFS('Raw Data'!$F:$F,'Raw Data'!$A:$A,$A179,'Raw Data'!$E:$E,D$3))</f>
        <v/>
      </c>
      <c r="E179" s="8" t="str">
        <f>IF($A179="","",SUMIFS('Raw Data'!$J:$J,'Raw Data'!$A:$A,$A179,'Raw Data'!$E:$E,D$3))</f>
        <v/>
      </c>
      <c r="F179" s="7" t="str">
        <f>IF($A179="","",SUMIFS('Raw Data'!$F:$F,'Raw Data'!$A:$A,$A179,'Raw Data'!$E:$E,F$3))</f>
        <v/>
      </c>
      <c r="G179" s="8" t="str">
        <f>IF($A179="","",SUMIFS('Raw Data'!$J:$J,'Raw Data'!$A:$A,$A179,'Raw Data'!$E:$E,F$3))</f>
        <v/>
      </c>
      <c r="H179" s="7" t="str">
        <f>IF($A179="","",SUMIFS('Raw Data'!$F:$F,'Raw Data'!$A:$A,$A179,'Raw Data'!$E:$E,H$3))</f>
        <v/>
      </c>
      <c r="I179" s="8" t="str">
        <f>IF($A179="","",SUMIFS('Raw Data'!$J:$J,'Raw Data'!$A:$A,$A179,'Raw Data'!$E:$E,H$3))</f>
        <v/>
      </c>
      <c r="J179" s="9" t="str">
        <f t="shared" si="15"/>
        <v/>
      </c>
      <c r="K179" s="10" t="str">
        <f t="shared" si="16"/>
        <v/>
      </c>
      <c r="L179" s="5" t="str">
        <f t="shared" si="17"/>
        <v/>
      </c>
    </row>
    <row r="180" spans="1:12" x14ac:dyDescent="0.3">
      <c r="A180" s="6" t="str">
        <f>IFERROR(INDEX('Raw Data'!$A$2:$A$200,_xlfn.AGGREGATE(15,6,(ROW('Raw Data'!$A$2:$A$200)-ROW('Raw Data'!$A$2)+1)/((COUNTIF($A$4:A179,'Raw Data'!$A$2:$A$200)=0)*('Raw Data'!$A$2:$A$200&lt;&gt;"")),1)),"")</f>
        <v/>
      </c>
      <c r="B180" s="7" t="str">
        <f>IF($A180="","",SUMIFS('Raw Data'!$F:$F,'Raw Data'!$A:$A,$A180,'Raw Data'!$E:$E,B$3))</f>
        <v/>
      </c>
      <c r="C180" s="8" t="str">
        <f>IF($A180="","",SUMIFS('Raw Data'!$J:$J,'Raw Data'!$A:$A,$A180,'Raw Data'!$E:$E,B$3))</f>
        <v/>
      </c>
      <c r="D180" s="7" t="str">
        <f>IF($A180="","",SUMIFS('Raw Data'!$F:$F,'Raw Data'!$A:$A,$A180,'Raw Data'!$E:$E,D$3))</f>
        <v/>
      </c>
      <c r="E180" s="8" t="str">
        <f>IF($A180="","",SUMIFS('Raw Data'!$J:$J,'Raw Data'!$A:$A,$A180,'Raw Data'!$E:$E,D$3))</f>
        <v/>
      </c>
      <c r="F180" s="7" t="str">
        <f>IF($A180="","",SUMIFS('Raw Data'!$F:$F,'Raw Data'!$A:$A,$A180,'Raw Data'!$E:$E,F$3))</f>
        <v/>
      </c>
      <c r="G180" s="8" t="str">
        <f>IF($A180="","",SUMIFS('Raw Data'!$J:$J,'Raw Data'!$A:$A,$A180,'Raw Data'!$E:$E,F$3))</f>
        <v/>
      </c>
      <c r="H180" s="7" t="str">
        <f>IF($A180="","",SUMIFS('Raw Data'!$F:$F,'Raw Data'!$A:$A,$A180,'Raw Data'!$E:$E,H$3))</f>
        <v/>
      </c>
      <c r="I180" s="8" t="str">
        <f>IF($A180="","",SUMIFS('Raw Data'!$J:$J,'Raw Data'!$A:$A,$A180,'Raw Data'!$E:$E,H$3))</f>
        <v/>
      </c>
      <c r="J180" s="9" t="str">
        <f t="shared" si="15"/>
        <v/>
      </c>
      <c r="K180" s="10" t="str">
        <f t="shared" si="16"/>
        <v/>
      </c>
      <c r="L180" s="5" t="str">
        <f t="shared" si="17"/>
        <v/>
      </c>
    </row>
    <row r="181" spans="1:12" x14ac:dyDescent="0.3">
      <c r="A181" s="6" t="str">
        <f>IFERROR(INDEX('Raw Data'!$A$2:$A$200,_xlfn.AGGREGATE(15,6,(ROW('Raw Data'!$A$2:$A$200)-ROW('Raw Data'!$A$2)+1)/((COUNTIF($A$4:A180,'Raw Data'!$A$2:$A$200)=0)*('Raw Data'!$A$2:$A$200&lt;&gt;"")),1)),"")</f>
        <v/>
      </c>
      <c r="B181" s="7" t="str">
        <f>IF($A181="","",SUMIFS('Raw Data'!$F:$F,'Raw Data'!$A:$A,$A181,'Raw Data'!$E:$E,B$3))</f>
        <v/>
      </c>
      <c r="C181" s="8" t="str">
        <f>IF($A181="","",SUMIFS('Raw Data'!$J:$J,'Raw Data'!$A:$A,$A181,'Raw Data'!$E:$E,B$3))</f>
        <v/>
      </c>
      <c r="D181" s="7" t="str">
        <f>IF($A181="","",SUMIFS('Raw Data'!$F:$F,'Raw Data'!$A:$A,$A181,'Raw Data'!$E:$E,D$3))</f>
        <v/>
      </c>
      <c r="E181" s="8" t="str">
        <f>IF($A181="","",SUMIFS('Raw Data'!$J:$J,'Raw Data'!$A:$A,$A181,'Raw Data'!$E:$E,D$3))</f>
        <v/>
      </c>
      <c r="F181" s="7" t="str">
        <f>IF($A181="","",SUMIFS('Raw Data'!$F:$F,'Raw Data'!$A:$A,$A181,'Raw Data'!$E:$E,F$3))</f>
        <v/>
      </c>
      <c r="G181" s="8" t="str">
        <f>IF($A181="","",SUMIFS('Raw Data'!$J:$J,'Raw Data'!$A:$A,$A181,'Raw Data'!$E:$E,F$3))</f>
        <v/>
      </c>
      <c r="H181" s="7" t="str">
        <f>IF($A181="","",SUMIFS('Raw Data'!$F:$F,'Raw Data'!$A:$A,$A181,'Raw Data'!$E:$E,H$3))</f>
        <v/>
      </c>
      <c r="I181" s="8" t="str">
        <f>IF($A181="","",SUMIFS('Raw Data'!$J:$J,'Raw Data'!$A:$A,$A181,'Raw Data'!$E:$E,H$3))</f>
        <v/>
      </c>
      <c r="J181" s="9" t="str">
        <f t="shared" si="15"/>
        <v/>
      </c>
      <c r="K181" s="10" t="str">
        <f t="shared" si="16"/>
        <v/>
      </c>
      <c r="L181" s="5" t="str">
        <f t="shared" si="17"/>
        <v/>
      </c>
    </row>
    <row r="182" spans="1:12" x14ac:dyDescent="0.3">
      <c r="A182" s="6" t="str">
        <f>IFERROR(INDEX('Raw Data'!$A$2:$A$200,_xlfn.AGGREGATE(15,6,(ROW('Raw Data'!$A$2:$A$200)-ROW('Raw Data'!$A$2)+1)/((COUNTIF($A$4:A181,'Raw Data'!$A$2:$A$200)=0)*('Raw Data'!$A$2:$A$200&lt;&gt;"")),1)),"")</f>
        <v/>
      </c>
      <c r="B182" s="7" t="str">
        <f>IF($A182="","",SUMIFS('Raw Data'!$F:$F,'Raw Data'!$A:$A,$A182,'Raw Data'!$E:$E,B$3))</f>
        <v/>
      </c>
      <c r="C182" s="8" t="str">
        <f>IF($A182="","",SUMIFS('Raw Data'!$J:$J,'Raw Data'!$A:$A,$A182,'Raw Data'!$E:$E,B$3))</f>
        <v/>
      </c>
      <c r="D182" s="7" t="str">
        <f>IF($A182="","",SUMIFS('Raw Data'!$F:$F,'Raw Data'!$A:$A,$A182,'Raw Data'!$E:$E,D$3))</f>
        <v/>
      </c>
      <c r="E182" s="8" t="str">
        <f>IF($A182="","",SUMIFS('Raw Data'!$J:$J,'Raw Data'!$A:$A,$A182,'Raw Data'!$E:$E,D$3))</f>
        <v/>
      </c>
      <c r="F182" s="7" t="str">
        <f>IF($A182="","",SUMIFS('Raw Data'!$F:$F,'Raw Data'!$A:$A,$A182,'Raw Data'!$E:$E,F$3))</f>
        <v/>
      </c>
      <c r="G182" s="8" t="str">
        <f>IF($A182="","",SUMIFS('Raw Data'!$J:$J,'Raw Data'!$A:$A,$A182,'Raw Data'!$E:$E,F$3))</f>
        <v/>
      </c>
      <c r="H182" s="7" t="str">
        <f>IF($A182="","",SUMIFS('Raw Data'!$F:$F,'Raw Data'!$A:$A,$A182,'Raw Data'!$E:$E,H$3))</f>
        <v/>
      </c>
      <c r="I182" s="8" t="str">
        <f>IF($A182="","",SUMIFS('Raw Data'!$J:$J,'Raw Data'!$A:$A,$A182,'Raw Data'!$E:$E,H$3))</f>
        <v/>
      </c>
      <c r="J182" s="9" t="str">
        <f t="shared" si="15"/>
        <v/>
      </c>
      <c r="K182" s="10" t="str">
        <f t="shared" si="16"/>
        <v/>
      </c>
      <c r="L182" s="5" t="str">
        <f t="shared" si="17"/>
        <v/>
      </c>
    </row>
    <row r="183" spans="1:12" x14ac:dyDescent="0.3">
      <c r="A183" s="6" t="str">
        <f>IFERROR(INDEX('Raw Data'!$A$2:$A$200,_xlfn.AGGREGATE(15,6,(ROW('Raw Data'!$A$2:$A$200)-ROW('Raw Data'!$A$2)+1)/((COUNTIF($A$4:A182,'Raw Data'!$A$2:$A$200)=0)*('Raw Data'!$A$2:$A$200&lt;&gt;"")),1)),"")</f>
        <v/>
      </c>
      <c r="B183" s="7" t="str">
        <f>IF($A183="","",SUMIFS('Raw Data'!$F:$F,'Raw Data'!$A:$A,$A183,'Raw Data'!$E:$E,B$3))</f>
        <v/>
      </c>
      <c r="C183" s="8" t="str">
        <f>IF($A183="","",SUMIFS('Raw Data'!$J:$J,'Raw Data'!$A:$A,$A183,'Raw Data'!$E:$E,B$3))</f>
        <v/>
      </c>
      <c r="D183" s="7" t="str">
        <f>IF($A183="","",SUMIFS('Raw Data'!$F:$F,'Raw Data'!$A:$A,$A183,'Raw Data'!$E:$E,D$3))</f>
        <v/>
      </c>
      <c r="E183" s="8" t="str">
        <f>IF($A183="","",SUMIFS('Raw Data'!$J:$J,'Raw Data'!$A:$A,$A183,'Raw Data'!$E:$E,D$3))</f>
        <v/>
      </c>
      <c r="F183" s="7" t="str">
        <f>IF($A183="","",SUMIFS('Raw Data'!$F:$F,'Raw Data'!$A:$A,$A183,'Raw Data'!$E:$E,F$3))</f>
        <v/>
      </c>
      <c r="G183" s="8" t="str">
        <f>IF($A183="","",SUMIFS('Raw Data'!$J:$J,'Raw Data'!$A:$A,$A183,'Raw Data'!$E:$E,F$3))</f>
        <v/>
      </c>
      <c r="H183" s="7" t="str">
        <f>IF($A183="","",SUMIFS('Raw Data'!$F:$F,'Raw Data'!$A:$A,$A183,'Raw Data'!$E:$E,H$3))</f>
        <v/>
      </c>
      <c r="I183" s="8" t="str">
        <f>IF($A183="","",SUMIFS('Raw Data'!$J:$J,'Raw Data'!$A:$A,$A183,'Raw Data'!$E:$E,H$3))</f>
        <v/>
      </c>
      <c r="J183" s="9" t="str">
        <f t="shared" si="15"/>
        <v/>
      </c>
      <c r="K183" s="10" t="str">
        <f t="shared" si="16"/>
        <v/>
      </c>
      <c r="L183" s="5" t="str">
        <f t="shared" si="17"/>
        <v/>
      </c>
    </row>
    <row r="184" spans="1:12" x14ac:dyDescent="0.3">
      <c r="A184" s="6" t="str">
        <f>IFERROR(INDEX('Raw Data'!$A$2:$A$200,_xlfn.AGGREGATE(15,6,(ROW('Raw Data'!$A$2:$A$200)-ROW('Raw Data'!$A$2)+1)/((COUNTIF($A$4:A183,'Raw Data'!$A$2:$A$200)=0)*('Raw Data'!$A$2:$A$200&lt;&gt;"")),1)),"")</f>
        <v/>
      </c>
      <c r="B184" s="7" t="str">
        <f>IF($A184="","",SUMIFS('Raw Data'!$F:$F,'Raw Data'!$A:$A,$A184,'Raw Data'!$E:$E,B$3))</f>
        <v/>
      </c>
      <c r="C184" s="8" t="str">
        <f>IF($A184="","",SUMIFS('Raw Data'!$J:$J,'Raw Data'!$A:$A,$A184,'Raw Data'!$E:$E,B$3))</f>
        <v/>
      </c>
      <c r="D184" s="7" t="str">
        <f>IF($A184="","",SUMIFS('Raw Data'!$F:$F,'Raw Data'!$A:$A,$A184,'Raw Data'!$E:$E,D$3))</f>
        <v/>
      </c>
      <c r="E184" s="8" t="str">
        <f>IF($A184="","",SUMIFS('Raw Data'!$J:$J,'Raw Data'!$A:$A,$A184,'Raw Data'!$E:$E,D$3))</f>
        <v/>
      </c>
      <c r="F184" s="7" t="str">
        <f>IF($A184="","",SUMIFS('Raw Data'!$F:$F,'Raw Data'!$A:$A,$A184,'Raw Data'!$E:$E,F$3))</f>
        <v/>
      </c>
      <c r="G184" s="8" t="str">
        <f>IF($A184="","",SUMIFS('Raw Data'!$J:$J,'Raw Data'!$A:$A,$A184,'Raw Data'!$E:$E,F$3))</f>
        <v/>
      </c>
      <c r="H184" s="7" t="str">
        <f>IF($A184="","",SUMIFS('Raw Data'!$F:$F,'Raw Data'!$A:$A,$A184,'Raw Data'!$E:$E,H$3))</f>
        <v/>
      </c>
      <c r="I184" s="8" t="str">
        <f>IF($A184="","",SUMIFS('Raw Data'!$J:$J,'Raw Data'!$A:$A,$A184,'Raw Data'!$E:$E,H$3))</f>
        <v/>
      </c>
      <c r="J184" s="9" t="str">
        <f t="shared" si="15"/>
        <v/>
      </c>
      <c r="K184" s="10" t="str">
        <f t="shared" si="16"/>
        <v/>
      </c>
      <c r="L184" s="5" t="str">
        <f t="shared" si="17"/>
        <v/>
      </c>
    </row>
    <row r="185" spans="1:12" x14ac:dyDescent="0.3">
      <c r="A185" s="6" t="str">
        <f>IFERROR(INDEX('Raw Data'!$A$2:$A$200,_xlfn.AGGREGATE(15,6,(ROW('Raw Data'!$A$2:$A$200)-ROW('Raw Data'!$A$2)+1)/((COUNTIF($A$4:A184,'Raw Data'!$A$2:$A$200)=0)*('Raw Data'!$A$2:$A$200&lt;&gt;"")),1)),"")</f>
        <v/>
      </c>
      <c r="B185" s="7" t="str">
        <f>IF($A185="","",SUMIFS('Raw Data'!$F:$F,'Raw Data'!$A:$A,$A185,'Raw Data'!$E:$E,B$3))</f>
        <v/>
      </c>
      <c r="C185" s="8" t="str">
        <f>IF($A185="","",SUMIFS('Raw Data'!$J:$J,'Raw Data'!$A:$A,$A185,'Raw Data'!$E:$E,B$3))</f>
        <v/>
      </c>
      <c r="D185" s="7" t="str">
        <f>IF($A185="","",SUMIFS('Raw Data'!$F:$F,'Raw Data'!$A:$A,$A185,'Raw Data'!$E:$E,D$3))</f>
        <v/>
      </c>
      <c r="E185" s="8" t="str">
        <f>IF($A185="","",SUMIFS('Raw Data'!$J:$J,'Raw Data'!$A:$A,$A185,'Raw Data'!$E:$E,D$3))</f>
        <v/>
      </c>
      <c r="F185" s="7" t="str">
        <f>IF($A185="","",SUMIFS('Raw Data'!$F:$F,'Raw Data'!$A:$A,$A185,'Raw Data'!$E:$E,F$3))</f>
        <v/>
      </c>
      <c r="G185" s="8" t="str">
        <f>IF($A185="","",SUMIFS('Raw Data'!$J:$J,'Raw Data'!$A:$A,$A185,'Raw Data'!$E:$E,F$3))</f>
        <v/>
      </c>
      <c r="H185" s="7" t="str">
        <f>IF($A185="","",SUMIFS('Raw Data'!$F:$F,'Raw Data'!$A:$A,$A185,'Raw Data'!$E:$E,H$3))</f>
        <v/>
      </c>
      <c r="I185" s="8" t="str">
        <f>IF($A185="","",SUMIFS('Raw Data'!$J:$J,'Raw Data'!$A:$A,$A185,'Raw Data'!$E:$E,H$3))</f>
        <v/>
      </c>
      <c r="J185" s="9" t="str">
        <f t="shared" si="15"/>
        <v/>
      </c>
      <c r="K185" s="10" t="str">
        <f t="shared" si="16"/>
        <v/>
      </c>
      <c r="L185" s="5" t="str">
        <f t="shared" si="17"/>
        <v/>
      </c>
    </row>
    <row r="186" spans="1:12" x14ac:dyDescent="0.3">
      <c r="A186" s="6" t="str">
        <f>IFERROR(INDEX('Raw Data'!$A$2:$A$200,_xlfn.AGGREGATE(15,6,(ROW('Raw Data'!$A$2:$A$200)-ROW('Raw Data'!$A$2)+1)/((COUNTIF($A$4:A185,'Raw Data'!$A$2:$A$200)=0)*('Raw Data'!$A$2:$A$200&lt;&gt;"")),1)),"")</f>
        <v/>
      </c>
      <c r="B186" s="7" t="str">
        <f>IF($A186="","",SUMIFS('Raw Data'!$F:$F,'Raw Data'!$A:$A,$A186,'Raw Data'!$E:$E,B$3))</f>
        <v/>
      </c>
      <c r="C186" s="8" t="str">
        <f>IF($A186="","",SUMIFS('Raw Data'!$J:$J,'Raw Data'!$A:$A,$A186,'Raw Data'!$E:$E,B$3))</f>
        <v/>
      </c>
      <c r="D186" s="7" t="str">
        <f>IF($A186="","",SUMIFS('Raw Data'!$F:$F,'Raw Data'!$A:$A,$A186,'Raw Data'!$E:$E,D$3))</f>
        <v/>
      </c>
      <c r="E186" s="8" t="str">
        <f>IF($A186="","",SUMIFS('Raw Data'!$J:$J,'Raw Data'!$A:$A,$A186,'Raw Data'!$E:$E,D$3))</f>
        <v/>
      </c>
      <c r="F186" s="7" t="str">
        <f>IF($A186="","",SUMIFS('Raw Data'!$F:$F,'Raw Data'!$A:$A,$A186,'Raw Data'!$E:$E,F$3))</f>
        <v/>
      </c>
      <c r="G186" s="8" t="str">
        <f>IF($A186="","",SUMIFS('Raw Data'!$J:$J,'Raw Data'!$A:$A,$A186,'Raw Data'!$E:$E,F$3))</f>
        <v/>
      </c>
      <c r="H186" s="7" t="str">
        <f>IF($A186="","",SUMIFS('Raw Data'!$F:$F,'Raw Data'!$A:$A,$A186,'Raw Data'!$E:$E,H$3))</f>
        <v/>
      </c>
      <c r="I186" s="8" t="str">
        <f>IF($A186="","",SUMIFS('Raw Data'!$J:$J,'Raw Data'!$A:$A,$A186,'Raw Data'!$E:$E,H$3))</f>
        <v/>
      </c>
      <c r="J186" s="9" t="str">
        <f t="shared" si="15"/>
        <v/>
      </c>
      <c r="K186" s="10" t="str">
        <f t="shared" si="16"/>
        <v/>
      </c>
      <c r="L186" s="5" t="str">
        <f t="shared" si="17"/>
        <v/>
      </c>
    </row>
    <row r="187" spans="1:12" x14ac:dyDescent="0.3">
      <c r="A187" s="6" t="str">
        <f>IFERROR(INDEX('Raw Data'!$A$2:$A$200,_xlfn.AGGREGATE(15,6,(ROW('Raw Data'!$A$2:$A$200)-ROW('Raw Data'!$A$2)+1)/((COUNTIF($A$4:A186,'Raw Data'!$A$2:$A$200)=0)*('Raw Data'!$A$2:$A$200&lt;&gt;"")),1)),"")</f>
        <v/>
      </c>
      <c r="B187" s="7" t="str">
        <f>IF($A187="","",SUMIFS('Raw Data'!$F:$F,'Raw Data'!$A:$A,$A187,'Raw Data'!$E:$E,B$3))</f>
        <v/>
      </c>
      <c r="C187" s="8" t="str">
        <f>IF($A187="","",SUMIFS('Raw Data'!$J:$J,'Raw Data'!$A:$A,$A187,'Raw Data'!$E:$E,B$3))</f>
        <v/>
      </c>
      <c r="D187" s="7" t="str">
        <f>IF($A187="","",SUMIFS('Raw Data'!$F:$F,'Raw Data'!$A:$A,$A187,'Raw Data'!$E:$E,D$3))</f>
        <v/>
      </c>
      <c r="E187" s="8" t="str">
        <f>IF($A187="","",SUMIFS('Raw Data'!$J:$J,'Raw Data'!$A:$A,$A187,'Raw Data'!$E:$E,D$3))</f>
        <v/>
      </c>
      <c r="F187" s="7" t="str">
        <f>IF($A187="","",SUMIFS('Raw Data'!$F:$F,'Raw Data'!$A:$A,$A187,'Raw Data'!$E:$E,F$3))</f>
        <v/>
      </c>
      <c r="G187" s="8" t="str">
        <f>IF($A187="","",SUMIFS('Raw Data'!$J:$J,'Raw Data'!$A:$A,$A187,'Raw Data'!$E:$E,F$3))</f>
        <v/>
      </c>
      <c r="H187" s="7" t="str">
        <f>IF($A187="","",SUMIFS('Raw Data'!$F:$F,'Raw Data'!$A:$A,$A187,'Raw Data'!$E:$E,H$3))</f>
        <v/>
      </c>
      <c r="I187" s="8" t="str">
        <f>IF($A187="","",SUMIFS('Raw Data'!$J:$J,'Raw Data'!$A:$A,$A187,'Raw Data'!$E:$E,H$3))</f>
        <v/>
      </c>
      <c r="J187" s="9" t="str">
        <f t="shared" si="15"/>
        <v/>
      </c>
      <c r="K187" s="10" t="str">
        <f t="shared" si="16"/>
        <v/>
      </c>
      <c r="L187" s="5" t="str">
        <f t="shared" si="17"/>
        <v/>
      </c>
    </row>
    <row r="188" spans="1:12" x14ac:dyDescent="0.3">
      <c r="A188" s="6" t="str">
        <f>IFERROR(INDEX('Raw Data'!$A$2:$A$200,_xlfn.AGGREGATE(15,6,(ROW('Raw Data'!$A$2:$A$200)-ROW('Raw Data'!$A$2)+1)/((COUNTIF($A$4:A187,'Raw Data'!$A$2:$A$200)=0)*('Raw Data'!$A$2:$A$200&lt;&gt;"")),1)),"")</f>
        <v/>
      </c>
      <c r="B188" s="7" t="str">
        <f>IF($A188="","",SUMIFS('Raw Data'!$F:$F,'Raw Data'!$A:$A,$A188,'Raw Data'!$E:$E,B$3))</f>
        <v/>
      </c>
      <c r="C188" s="8" t="str">
        <f>IF($A188="","",SUMIFS('Raw Data'!$J:$J,'Raw Data'!$A:$A,$A188,'Raw Data'!$E:$E,B$3))</f>
        <v/>
      </c>
      <c r="D188" s="7" t="str">
        <f>IF($A188="","",SUMIFS('Raw Data'!$F:$F,'Raw Data'!$A:$A,$A188,'Raw Data'!$E:$E,D$3))</f>
        <v/>
      </c>
      <c r="E188" s="8" t="str">
        <f>IF($A188="","",SUMIFS('Raw Data'!$J:$J,'Raw Data'!$A:$A,$A188,'Raw Data'!$E:$E,D$3))</f>
        <v/>
      </c>
      <c r="F188" s="7" t="str">
        <f>IF($A188="","",SUMIFS('Raw Data'!$F:$F,'Raw Data'!$A:$A,$A188,'Raw Data'!$E:$E,F$3))</f>
        <v/>
      </c>
      <c r="G188" s="8" t="str">
        <f>IF($A188="","",SUMIFS('Raw Data'!$J:$J,'Raw Data'!$A:$A,$A188,'Raw Data'!$E:$E,F$3))</f>
        <v/>
      </c>
      <c r="H188" s="7" t="str">
        <f>IF($A188="","",SUMIFS('Raw Data'!$F:$F,'Raw Data'!$A:$A,$A188,'Raw Data'!$E:$E,H$3))</f>
        <v/>
      </c>
      <c r="I188" s="8" t="str">
        <f>IF($A188="","",SUMIFS('Raw Data'!$J:$J,'Raw Data'!$A:$A,$A188,'Raw Data'!$E:$E,H$3))</f>
        <v/>
      </c>
      <c r="J188" s="9" t="str">
        <f t="shared" si="15"/>
        <v/>
      </c>
      <c r="K188" s="10" t="str">
        <f t="shared" si="16"/>
        <v/>
      </c>
      <c r="L188" s="5" t="str">
        <f t="shared" si="17"/>
        <v/>
      </c>
    </row>
    <row r="189" spans="1:12" x14ac:dyDescent="0.3">
      <c r="A189" s="6" t="str">
        <f>IFERROR(INDEX('Raw Data'!$A$2:$A$200,_xlfn.AGGREGATE(15,6,(ROW('Raw Data'!$A$2:$A$200)-ROW('Raw Data'!$A$2)+1)/((COUNTIF($A$4:A188,'Raw Data'!$A$2:$A$200)=0)*('Raw Data'!$A$2:$A$200&lt;&gt;"")),1)),"")</f>
        <v/>
      </c>
      <c r="B189" s="7" t="str">
        <f>IF($A189="","",SUMIFS('Raw Data'!$F:$F,'Raw Data'!$A:$A,$A189,'Raw Data'!$E:$E,B$3))</f>
        <v/>
      </c>
      <c r="C189" s="8" t="str">
        <f>IF($A189="","",SUMIFS('Raw Data'!$J:$J,'Raw Data'!$A:$A,$A189,'Raw Data'!$E:$E,B$3))</f>
        <v/>
      </c>
      <c r="D189" s="7" t="str">
        <f>IF($A189="","",SUMIFS('Raw Data'!$F:$F,'Raw Data'!$A:$A,$A189,'Raw Data'!$E:$E,D$3))</f>
        <v/>
      </c>
      <c r="E189" s="8" t="str">
        <f>IF($A189="","",SUMIFS('Raw Data'!$J:$J,'Raw Data'!$A:$A,$A189,'Raw Data'!$E:$E,D$3))</f>
        <v/>
      </c>
      <c r="F189" s="7" t="str">
        <f>IF($A189="","",SUMIFS('Raw Data'!$F:$F,'Raw Data'!$A:$A,$A189,'Raw Data'!$E:$E,F$3))</f>
        <v/>
      </c>
      <c r="G189" s="8" t="str">
        <f>IF($A189="","",SUMIFS('Raw Data'!$J:$J,'Raw Data'!$A:$A,$A189,'Raw Data'!$E:$E,F$3))</f>
        <v/>
      </c>
      <c r="H189" s="7" t="str">
        <f>IF($A189="","",SUMIFS('Raw Data'!$F:$F,'Raw Data'!$A:$A,$A189,'Raw Data'!$E:$E,H$3))</f>
        <v/>
      </c>
      <c r="I189" s="8" t="str">
        <f>IF($A189="","",SUMIFS('Raw Data'!$J:$J,'Raw Data'!$A:$A,$A189,'Raw Data'!$E:$E,H$3))</f>
        <v/>
      </c>
      <c r="J189" s="9" t="str">
        <f t="shared" si="15"/>
        <v/>
      </c>
      <c r="K189" s="10" t="str">
        <f t="shared" si="16"/>
        <v/>
      </c>
      <c r="L189" s="5" t="str">
        <f t="shared" si="17"/>
        <v/>
      </c>
    </row>
    <row r="190" spans="1:12" x14ac:dyDescent="0.3">
      <c r="A190" s="6" t="str">
        <f>IFERROR(INDEX('Raw Data'!$A$2:$A$200,_xlfn.AGGREGATE(15,6,(ROW('Raw Data'!$A$2:$A$200)-ROW('Raw Data'!$A$2)+1)/((COUNTIF($A$4:A189,'Raw Data'!$A$2:$A$200)=0)*('Raw Data'!$A$2:$A$200&lt;&gt;"")),1)),"")</f>
        <v/>
      </c>
      <c r="B190" s="7" t="str">
        <f>IF($A190="","",SUMIFS('Raw Data'!$F:$F,'Raw Data'!$A:$A,$A190,'Raw Data'!$E:$E,B$3))</f>
        <v/>
      </c>
      <c r="C190" s="8" t="str">
        <f>IF($A190="","",SUMIFS('Raw Data'!$J:$J,'Raw Data'!$A:$A,$A190,'Raw Data'!$E:$E,B$3))</f>
        <v/>
      </c>
      <c r="D190" s="7" t="str">
        <f>IF($A190="","",SUMIFS('Raw Data'!$F:$F,'Raw Data'!$A:$A,$A190,'Raw Data'!$E:$E,D$3))</f>
        <v/>
      </c>
      <c r="E190" s="8" t="str">
        <f>IF($A190="","",SUMIFS('Raw Data'!$J:$J,'Raw Data'!$A:$A,$A190,'Raw Data'!$E:$E,D$3))</f>
        <v/>
      </c>
      <c r="F190" s="7" t="str">
        <f>IF($A190="","",SUMIFS('Raw Data'!$F:$F,'Raw Data'!$A:$A,$A190,'Raw Data'!$E:$E,F$3))</f>
        <v/>
      </c>
      <c r="G190" s="8" t="str">
        <f>IF($A190="","",SUMIFS('Raw Data'!$J:$J,'Raw Data'!$A:$A,$A190,'Raw Data'!$E:$E,F$3))</f>
        <v/>
      </c>
      <c r="H190" s="7" t="str">
        <f>IF($A190="","",SUMIFS('Raw Data'!$F:$F,'Raw Data'!$A:$A,$A190,'Raw Data'!$E:$E,H$3))</f>
        <v/>
      </c>
      <c r="I190" s="8" t="str">
        <f>IF($A190="","",SUMIFS('Raw Data'!$J:$J,'Raw Data'!$A:$A,$A190,'Raw Data'!$E:$E,H$3))</f>
        <v/>
      </c>
      <c r="J190" s="9" t="str">
        <f t="shared" si="15"/>
        <v/>
      </c>
      <c r="K190" s="10" t="str">
        <f t="shared" si="16"/>
        <v/>
      </c>
      <c r="L190" s="5" t="str">
        <f t="shared" si="17"/>
        <v/>
      </c>
    </row>
    <row r="191" spans="1:12" x14ac:dyDescent="0.3">
      <c r="A191" s="6" t="str">
        <f>IFERROR(INDEX('Raw Data'!$A$2:$A$200,_xlfn.AGGREGATE(15,6,(ROW('Raw Data'!$A$2:$A$200)-ROW('Raw Data'!$A$2)+1)/((COUNTIF($A$4:A190,'Raw Data'!$A$2:$A$200)=0)*('Raw Data'!$A$2:$A$200&lt;&gt;"")),1)),"")</f>
        <v/>
      </c>
      <c r="B191" s="7" t="str">
        <f>IF($A191="","",SUMIFS('Raw Data'!$F:$F,'Raw Data'!$A:$A,$A191,'Raw Data'!$E:$E,B$3))</f>
        <v/>
      </c>
      <c r="C191" s="8" t="str">
        <f>IF($A191="","",SUMIFS('Raw Data'!$J:$J,'Raw Data'!$A:$A,$A191,'Raw Data'!$E:$E,B$3))</f>
        <v/>
      </c>
      <c r="D191" s="7" t="str">
        <f>IF($A191="","",SUMIFS('Raw Data'!$F:$F,'Raw Data'!$A:$A,$A191,'Raw Data'!$E:$E,D$3))</f>
        <v/>
      </c>
      <c r="E191" s="8" t="str">
        <f>IF($A191="","",SUMIFS('Raw Data'!$J:$J,'Raw Data'!$A:$A,$A191,'Raw Data'!$E:$E,D$3))</f>
        <v/>
      </c>
      <c r="F191" s="7" t="str">
        <f>IF($A191="","",SUMIFS('Raw Data'!$F:$F,'Raw Data'!$A:$A,$A191,'Raw Data'!$E:$E,F$3))</f>
        <v/>
      </c>
      <c r="G191" s="8" t="str">
        <f>IF($A191="","",SUMIFS('Raw Data'!$J:$J,'Raw Data'!$A:$A,$A191,'Raw Data'!$E:$E,F$3))</f>
        <v/>
      </c>
      <c r="H191" s="7" t="str">
        <f>IF($A191="","",SUMIFS('Raw Data'!$F:$F,'Raw Data'!$A:$A,$A191,'Raw Data'!$E:$E,H$3))</f>
        <v/>
      </c>
      <c r="I191" s="8" t="str">
        <f>IF($A191="","",SUMIFS('Raw Data'!$J:$J,'Raw Data'!$A:$A,$A191,'Raw Data'!$E:$E,H$3))</f>
        <v/>
      </c>
      <c r="J191" s="9" t="str">
        <f t="shared" si="15"/>
        <v/>
      </c>
      <c r="K191" s="10" t="str">
        <f t="shared" si="16"/>
        <v/>
      </c>
      <c r="L191" s="5" t="str">
        <f t="shared" si="17"/>
        <v/>
      </c>
    </row>
    <row r="192" spans="1:12" x14ac:dyDescent="0.3">
      <c r="A192" s="6" t="str">
        <f>IFERROR(INDEX('Raw Data'!$A$2:$A$200,_xlfn.AGGREGATE(15,6,(ROW('Raw Data'!$A$2:$A$200)-ROW('Raw Data'!$A$2)+1)/((COUNTIF($A$4:A191,'Raw Data'!$A$2:$A$200)=0)*('Raw Data'!$A$2:$A$200&lt;&gt;"")),1)),"")</f>
        <v/>
      </c>
      <c r="B192" s="7" t="str">
        <f>IF($A192="","",SUMIFS('Raw Data'!$F:$F,'Raw Data'!$A:$A,$A192,'Raw Data'!$E:$E,B$3))</f>
        <v/>
      </c>
      <c r="C192" s="8" t="str">
        <f>IF($A192="","",SUMIFS('Raw Data'!$J:$J,'Raw Data'!$A:$A,$A192,'Raw Data'!$E:$E,B$3))</f>
        <v/>
      </c>
      <c r="D192" s="7" t="str">
        <f>IF($A192="","",SUMIFS('Raw Data'!$F:$F,'Raw Data'!$A:$A,$A192,'Raw Data'!$E:$E,D$3))</f>
        <v/>
      </c>
      <c r="E192" s="8" t="str">
        <f>IF($A192="","",SUMIFS('Raw Data'!$J:$J,'Raw Data'!$A:$A,$A192,'Raw Data'!$E:$E,D$3))</f>
        <v/>
      </c>
      <c r="F192" s="7" t="str">
        <f>IF($A192="","",SUMIFS('Raw Data'!$F:$F,'Raw Data'!$A:$A,$A192,'Raw Data'!$E:$E,F$3))</f>
        <v/>
      </c>
      <c r="G192" s="8" t="str">
        <f>IF($A192="","",SUMIFS('Raw Data'!$J:$J,'Raw Data'!$A:$A,$A192,'Raw Data'!$E:$E,F$3))</f>
        <v/>
      </c>
      <c r="H192" s="7" t="str">
        <f>IF($A192="","",SUMIFS('Raw Data'!$F:$F,'Raw Data'!$A:$A,$A192,'Raw Data'!$E:$E,H$3))</f>
        <v/>
      </c>
      <c r="I192" s="8" t="str">
        <f>IF($A192="","",SUMIFS('Raw Data'!$J:$J,'Raw Data'!$A:$A,$A192,'Raw Data'!$E:$E,H$3))</f>
        <v/>
      </c>
      <c r="J192" s="9" t="str">
        <f t="shared" si="15"/>
        <v/>
      </c>
      <c r="K192" s="10" t="str">
        <f t="shared" si="16"/>
        <v/>
      </c>
      <c r="L192" s="5" t="str">
        <f t="shared" si="17"/>
        <v/>
      </c>
    </row>
    <row r="193" spans="1:12" x14ac:dyDescent="0.3">
      <c r="A193" s="6" t="str">
        <f>IFERROR(INDEX('Raw Data'!$A$2:$A$200,_xlfn.AGGREGATE(15,6,(ROW('Raw Data'!$A$2:$A$200)-ROW('Raw Data'!$A$2)+1)/((COUNTIF($A$4:A192,'Raw Data'!$A$2:$A$200)=0)*('Raw Data'!$A$2:$A$200&lt;&gt;"")),1)),"")</f>
        <v/>
      </c>
      <c r="B193" s="7" t="str">
        <f>IF($A193="","",SUMIFS('Raw Data'!$F:$F,'Raw Data'!$A:$A,$A193,'Raw Data'!$E:$E,B$3))</f>
        <v/>
      </c>
      <c r="C193" s="8" t="str">
        <f>IF($A193="","",SUMIFS('Raw Data'!$J:$J,'Raw Data'!$A:$A,$A193,'Raw Data'!$E:$E,B$3))</f>
        <v/>
      </c>
      <c r="D193" s="7" t="str">
        <f>IF($A193="","",SUMIFS('Raw Data'!$F:$F,'Raw Data'!$A:$A,$A193,'Raw Data'!$E:$E,D$3))</f>
        <v/>
      </c>
      <c r="E193" s="8" t="str">
        <f>IF($A193="","",SUMIFS('Raw Data'!$J:$J,'Raw Data'!$A:$A,$A193,'Raw Data'!$E:$E,D$3))</f>
        <v/>
      </c>
      <c r="F193" s="7" t="str">
        <f>IF($A193="","",SUMIFS('Raw Data'!$F:$F,'Raw Data'!$A:$A,$A193,'Raw Data'!$E:$E,F$3))</f>
        <v/>
      </c>
      <c r="G193" s="8" t="str">
        <f>IF($A193="","",SUMIFS('Raw Data'!$J:$J,'Raw Data'!$A:$A,$A193,'Raw Data'!$E:$E,F$3))</f>
        <v/>
      </c>
      <c r="H193" s="7" t="str">
        <f>IF($A193="","",SUMIFS('Raw Data'!$F:$F,'Raw Data'!$A:$A,$A193,'Raw Data'!$E:$E,H$3))</f>
        <v/>
      </c>
      <c r="I193" s="8" t="str">
        <f>IF($A193="","",SUMIFS('Raw Data'!$J:$J,'Raw Data'!$A:$A,$A193,'Raw Data'!$E:$E,H$3))</f>
        <v/>
      </c>
      <c r="J193" s="9" t="str">
        <f t="shared" si="15"/>
        <v/>
      </c>
      <c r="K193" s="10" t="str">
        <f t="shared" si="16"/>
        <v/>
      </c>
      <c r="L193" s="5" t="str">
        <f t="shared" si="17"/>
        <v/>
      </c>
    </row>
    <row r="194" spans="1:12" x14ac:dyDescent="0.3">
      <c r="A194" s="6" t="str">
        <f>IFERROR(INDEX('Raw Data'!$A$2:$A$200,_xlfn.AGGREGATE(15,6,(ROW('Raw Data'!$A$2:$A$200)-ROW('Raw Data'!$A$2)+1)/((COUNTIF($A$4:A193,'Raw Data'!$A$2:$A$200)=0)*('Raw Data'!$A$2:$A$200&lt;&gt;"")),1)),"")</f>
        <v/>
      </c>
      <c r="B194" s="7" t="str">
        <f>IF($A194="","",SUMIFS('Raw Data'!$F:$F,'Raw Data'!$A:$A,$A194,'Raw Data'!$E:$E,B$3))</f>
        <v/>
      </c>
      <c r="C194" s="8" t="str">
        <f>IF($A194="","",SUMIFS('Raw Data'!$J:$J,'Raw Data'!$A:$A,$A194,'Raw Data'!$E:$E,B$3))</f>
        <v/>
      </c>
      <c r="D194" s="7" t="str">
        <f>IF($A194="","",SUMIFS('Raw Data'!$F:$F,'Raw Data'!$A:$A,$A194,'Raw Data'!$E:$E,D$3))</f>
        <v/>
      </c>
      <c r="E194" s="8" t="str">
        <f>IF($A194="","",SUMIFS('Raw Data'!$J:$J,'Raw Data'!$A:$A,$A194,'Raw Data'!$E:$E,D$3))</f>
        <v/>
      </c>
      <c r="F194" s="7" t="str">
        <f>IF($A194="","",SUMIFS('Raw Data'!$F:$F,'Raw Data'!$A:$A,$A194,'Raw Data'!$E:$E,F$3))</f>
        <v/>
      </c>
      <c r="G194" s="8" t="str">
        <f>IF($A194="","",SUMIFS('Raw Data'!$J:$J,'Raw Data'!$A:$A,$A194,'Raw Data'!$E:$E,F$3))</f>
        <v/>
      </c>
      <c r="H194" s="7" t="str">
        <f>IF($A194="","",SUMIFS('Raw Data'!$F:$F,'Raw Data'!$A:$A,$A194,'Raw Data'!$E:$E,H$3))</f>
        <v/>
      </c>
      <c r="I194" s="8" t="str">
        <f>IF($A194="","",SUMIFS('Raw Data'!$J:$J,'Raw Data'!$A:$A,$A194,'Raw Data'!$E:$E,H$3))</f>
        <v/>
      </c>
      <c r="J194" s="9" t="str">
        <f t="shared" si="15"/>
        <v/>
      </c>
      <c r="K194" s="10" t="str">
        <f t="shared" si="16"/>
        <v/>
      </c>
      <c r="L194" s="5" t="str">
        <f t="shared" si="17"/>
        <v/>
      </c>
    </row>
    <row r="195" spans="1:12" x14ac:dyDescent="0.3">
      <c r="A195" s="6" t="str">
        <f>IFERROR(INDEX('Raw Data'!$A$2:$A$200,_xlfn.AGGREGATE(15,6,(ROW('Raw Data'!$A$2:$A$200)-ROW('Raw Data'!$A$2)+1)/((COUNTIF($A$4:A194,'Raw Data'!$A$2:$A$200)=0)*('Raw Data'!$A$2:$A$200&lt;&gt;"")),1)),"")</f>
        <v/>
      </c>
      <c r="B195" s="7" t="str">
        <f>IF($A195="","",SUMIFS('Raw Data'!$F:$F,'Raw Data'!$A:$A,$A195,'Raw Data'!$E:$E,B$3))</f>
        <v/>
      </c>
      <c r="C195" s="8" t="str">
        <f>IF($A195="","",SUMIFS('Raw Data'!$J:$J,'Raw Data'!$A:$A,$A195,'Raw Data'!$E:$E,B$3))</f>
        <v/>
      </c>
      <c r="D195" s="7" t="str">
        <f>IF($A195="","",SUMIFS('Raw Data'!$F:$F,'Raw Data'!$A:$A,$A195,'Raw Data'!$E:$E,D$3))</f>
        <v/>
      </c>
      <c r="E195" s="8" t="str">
        <f>IF($A195="","",SUMIFS('Raw Data'!$J:$J,'Raw Data'!$A:$A,$A195,'Raw Data'!$E:$E,D$3))</f>
        <v/>
      </c>
      <c r="F195" s="7" t="str">
        <f>IF($A195="","",SUMIFS('Raw Data'!$F:$F,'Raw Data'!$A:$A,$A195,'Raw Data'!$E:$E,F$3))</f>
        <v/>
      </c>
      <c r="G195" s="8" t="str">
        <f>IF($A195="","",SUMIFS('Raw Data'!$J:$J,'Raw Data'!$A:$A,$A195,'Raw Data'!$E:$E,F$3))</f>
        <v/>
      </c>
      <c r="H195" s="7" t="str">
        <f>IF($A195="","",SUMIFS('Raw Data'!$F:$F,'Raw Data'!$A:$A,$A195,'Raw Data'!$E:$E,H$3))</f>
        <v/>
      </c>
      <c r="I195" s="8" t="str">
        <f>IF($A195="","",SUMIFS('Raw Data'!$J:$J,'Raw Data'!$A:$A,$A195,'Raw Data'!$E:$E,H$3))</f>
        <v/>
      </c>
      <c r="J195" s="9" t="str">
        <f t="shared" si="15"/>
        <v/>
      </c>
      <c r="K195" s="10" t="str">
        <f t="shared" si="16"/>
        <v/>
      </c>
      <c r="L195" s="5" t="str">
        <f t="shared" si="17"/>
        <v/>
      </c>
    </row>
    <row r="196" spans="1:12" x14ac:dyDescent="0.3">
      <c r="A196" s="6" t="str">
        <f>IFERROR(INDEX('Raw Data'!$A$2:$A$200,_xlfn.AGGREGATE(15,6,(ROW('Raw Data'!$A$2:$A$200)-ROW('Raw Data'!$A$2)+1)/((COUNTIF($A$4:A195,'Raw Data'!$A$2:$A$200)=0)*('Raw Data'!$A$2:$A$200&lt;&gt;"")),1)),"")</f>
        <v/>
      </c>
      <c r="B196" s="7" t="str">
        <f>IF($A196="","",SUMIFS('Raw Data'!$F:$F,'Raw Data'!$A:$A,$A196,'Raw Data'!$E:$E,B$3))</f>
        <v/>
      </c>
      <c r="C196" s="8" t="str">
        <f>IF($A196="","",SUMIFS('Raw Data'!$J:$J,'Raw Data'!$A:$A,$A196,'Raw Data'!$E:$E,B$3))</f>
        <v/>
      </c>
      <c r="D196" s="7" t="str">
        <f>IF($A196="","",SUMIFS('Raw Data'!$F:$F,'Raw Data'!$A:$A,$A196,'Raw Data'!$E:$E,D$3))</f>
        <v/>
      </c>
      <c r="E196" s="8" t="str">
        <f>IF($A196="","",SUMIFS('Raw Data'!$J:$J,'Raw Data'!$A:$A,$A196,'Raw Data'!$E:$E,D$3))</f>
        <v/>
      </c>
      <c r="F196" s="7" t="str">
        <f>IF($A196="","",SUMIFS('Raw Data'!$F:$F,'Raw Data'!$A:$A,$A196,'Raw Data'!$E:$E,F$3))</f>
        <v/>
      </c>
      <c r="G196" s="8" t="str">
        <f>IF($A196="","",SUMIFS('Raw Data'!$J:$J,'Raw Data'!$A:$A,$A196,'Raw Data'!$E:$E,F$3))</f>
        <v/>
      </c>
      <c r="H196" s="7" t="str">
        <f>IF($A196="","",SUMIFS('Raw Data'!$F:$F,'Raw Data'!$A:$A,$A196,'Raw Data'!$E:$E,H$3))</f>
        <v/>
      </c>
      <c r="I196" s="8" t="str">
        <f>IF($A196="","",SUMIFS('Raw Data'!$J:$J,'Raw Data'!$A:$A,$A196,'Raw Data'!$E:$E,H$3))</f>
        <v/>
      </c>
      <c r="J196" s="9" t="str">
        <f t="shared" si="15"/>
        <v/>
      </c>
      <c r="K196" s="10" t="str">
        <f t="shared" si="16"/>
        <v/>
      </c>
      <c r="L196" s="5" t="str">
        <f t="shared" si="17"/>
        <v/>
      </c>
    </row>
    <row r="197" spans="1:12" x14ac:dyDescent="0.3">
      <c r="A197" s="6" t="str">
        <f>IFERROR(INDEX('Raw Data'!$A$2:$A$200,_xlfn.AGGREGATE(15,6,(ROW('Raw Data'!$A$2:$A$200)-ROW('Raw Data'!$A$2)+1)/((COUNTIF($A$4:A196,'Raw Data'!$A$2:$A$200)=0)*('Raw Data'!$A$2:$A$200&lt;&gt;"")),1)),"")</f>
        <v/>
      </c>
      <c r="B197" s="7" t="str">
        <f>IF($A197="","",SUMIFS('Raw Data'!$F:$F,'Raw Data'!$A:$A,$A197,'Raw Data'!$E:$E,B$3))</f>
        <v/>
      </c>
      <c r="C197" s="8" t="str">
        <f>IF($A197="","",SUMIFS('Raw Data'!$J:$J,'Raw Data'!$A:$A,$A197,'Raw Data'!$E:$E,B$3))</f>
        <v/>
      </c>
      <c r="D197" s="7" t="str">
        <f>IF($A197="","",SUMIFS('Raw Data'!$F:$F,'Raw Data'!$A:$A,$A197,'Raw Data'!$E:$E,D$3))</f>
        <v/>
      </c>
      <c r="E197" s="8" t="str">
        <f>IF($A197="","",SUMIFS('Raw Data'!$J:$J,'Raw Data'!$A:$A,$A197,'Raw Data'!$E:$E,D$3))</f>
        <v/>
      </c>
      <c r="F197" s="7" t="str">
        <f>IF($A197="","",SUMIFS('Raw Data'!$F:$F,'Raw Data'!$A:$A,$A197,'Raw Data'!$E:$E,F$3))</f>
        <v/>
      </c>
      <c r="G197" s="8" t="str">
        <f>IF($A197="","",SUMIFS('Raw Data'!$J:$J,'Raw Data'!$A:$A,$A197,'Raw Data'!$E:$E,F$3))</f>
        <v/>
      </c>
      <c r="H197" s="7" t="str">
        <f>IF($A197="","",SUMIFS('Raw Data'!$F:$F,'Raw Data'!$A:$A,$A197,'Raw Data'!$E:$E,H$3))</f>
        <v/>
      </c>
      <c r="I197" s="8" t="str">
        <f>IF($A197="","",SUMIFS('Raw Data'!$J:$J,'Raw Data'!$A:$A,$A197,'Raw Data'!$E:$E,H$3))</f>
        <v/>
      </c>
      <c r="J197" s="9" t="str">
        <f t="shared" ref="J197:J204" si="18">IF($A197="","",B197+D197+F197+H197)</f>
        <v/>
      </c>
      <c r="K197" s="10" t="str">
        <f t="shared" ref="K197:K204" si="19">IF($A197="","",C197+E197+G197+I197)</f>
        <v/>
      </c>
      <c r="L197" s="5" t="str">
        <f t="shared" ref="L197:L228" si="20">IF($A197="","",J197+K197)</f>
        <v/>
      </c>
    </row>
    <row r="198" spans="1:12" x14ac:dyDescent="0.3">
      <c r="A198" s="6" t="str">
        <f>IFERROR(INDEX('Raw Data'!$A$2:$A$200,_xlfn.AGGREGATE(15,6,(ROW('Raw Data'!$A$2:$A$200)-ROW('Raw Data'!$A$2)+1)/((COUNTIF($A$4:A197,'Raw Data'!$A$2:$A$200)=0)*('Raw Data'!$A$2:$A$200&lt;&gt;"")),1)),"")</f>
        <v/>
      </c>
      <c r="B198" s="7" t="str">
        <f>IF($A198="","",SUMIFS('Raw Data'!$F:$F,'Raw Data'!$A:$A,$A198,'Raw Data'!$E:$E,B$3))</f>
        <v/>
      </c>
      <c r="C198" s="8" t="str">
        <f>IF($A198="","",SUMIFS('Raw Data'!$J:$J,'Raw Data'!$A:$A,$A198,'Raw Data'!$E:$E,B$3))</f>
        <v/>
      </c>
      <c r="D198" s="7" t="str">
        <f>IF($A198="","",SUMIFS('Raw Data'!$F:$F,'Raw Data'!$A:$A,$A198,'Raw Data'!$E:$E,D$3))</f>
        <v/>
      </c>
      <c r="E198" s="8" t="str">
        <f>IF($A198="","",SUMIFS('Raw Data'!$J:$J,'Raw Data'!$A:$A,$A198,'Raw Data'!$E:$E,D$3))</f>
        <v/>
      </c>
      <c r="F198" s="7" t="str">
        <f>IF($A198="","",SUMIFS('Raw Data'!$F:$F,'Raw Data'!$A:$A,$A198,'Raw Data'!$E:$E,F$3))</f>
        <v/>
      </c>
      <c r="G198" s="8" t="str">
        <f>IF($A198="","",SUMIFS('Raw Data'!$J:$J,'Raw Data'!$A:$A,$A198,'Raw Data'!$E:$E,F$3))</f>
        <v/>
      </c>
      <c r="H198" s="7" t="str">
        <f>IF($A198="","",SUMIFS('Raw Data'!$F:$F,'Raw Data'!$A:$A,$A198,'Raw Data'!$E:$E,H$3))</f>
        <v/>
      </c>
      <c r="I198" s="8" t="str">
        <f>IF($A198="","",SUMIFS('Raw Data'!$J:$J,'Raw Data'!$A:$A,$A198,'Raw Data'!$E:$E,H$3))</f>
        <v/>
      </c>
      <c r="J198" s="9" t="str">
        <f t="shared" si="18"/>
        <v/>
      </c>
      <c r="K198" s="10" t="str">
        <f t="shared" si="19"/>
        <v/>
      </c>
      <c r="L198" s="5" t="str">
        <f t="shared" si="20"/>
        <v/>
      </c>
    </row>
    <row r="199" spans="1:12" x14ac:dyDescent="0.3">
      <c r="A199" s="6" t="str">
        <f>IFERROR(INDEX('Raw Data'!$A$2:$A$200,_xlfn.AGGREGATE(15,6,(ROW('Raw Data'!$A$2:$A$200)-ROW('Raw Data'!$A$2)+1)/((COUNTIF($A$4:A198,'Raw Data'!$A$2:$A$200)=0)*('Raw Data'!$A$2:$A$200&lt;&gt;"")),1)),"")</f>
        <v/>
      </c>
      <c r="B199" s="7" t="str">
        <f>IF($A199="","",SUMIFS('Raw Data'!$F:$F,'Raw Data'!$A:$A,$A199,'Raw Data'!$E:$E,B$3))</f>
        <v/>
      </c>
      <c r="C199" s="8" t="str">
        <f>IF($A199="","",SUMIFS('Raw Data'!$J:$J,'Raw Data'!$A:$A,$A199,'Raw Data'!$E:$E,B$3))</f>
        <v/>
      </c>
      <c r="D199" s="7" t="str">
        <f>IF($A199="","",SUMIFS('Raw Data'!$F:$F,'Raw Data'!$A:$A,$A199,'Raw Data'!$E:$E,D$3))</f>
        <v/>
      </c>
      <c r="E199" s="8" t="str">
        <f>IF($A199="","",SUMIFS('Raw Data'!$J:$J,'Raw Data'!$A:$A,$A199,'Raw Data'!$E:$E,D$3))</f>
        <v/>
      </c>
      <c r="F199" s="7" t="str">
        <f>IF($A199="","",SUMIFS('Raw Data'!$F:$F,'Raw Data'!$A:$A,$A199,'Raw Data'!$E:$E,F$3))</f>
        <v/>
      </c>
      <c r="G199" s="8" t="str">
        <f>IF($A199="","",SUMIFS('Raw Data'!$J:$J,'Raw Data'!$A:$A,$A199,'Raw Data'!$E:$E,F$3))</f>
        <v/>
      </c>
      <c r="H199" s="7" t="str">
        <f>IF($A199="","",SUMIFS('Raw Data'!$F:$F,'Raw Data'!$A:$A,$A199,'Raw Data'!$E:$E,H$3))</f>
        <v/>
      </c>
      <c r="I199" s="8" t="str">
        <f>IF($A199="","",SUMIFS('Raw Data'!$J:$J,'Raw Data'!$A:$A,$A199,'Raw Data'!$E:$E,H$3))</f>
        <v/>
      </c>
      <c r="J199" s="9" t="str">
        <f t="shared" si="18"/>
        <v/>
      </c>
      <c r="K199" s="10" t="str">
        <f t="shared" si="19"/>
        <v/>
      </c>
      <c r="L199" s="5" t="str">
        <f t="shared" si="20"/>
        <v/>
      </c>
    </row>
    <row r="200" spans="1:12" x14ac:dyDescent="0.3">
      <c r="A200" s="6" t="str">
        <f>IFERROR(INDEX('Raw Data'!$A$2:$A$200,_xlfn.AGGREGATE(15,6,(ROW('Raw Data'!$A$2:$A$200)-ROW('Raw Data'!$A$2)+1)/((COUNTIF($A$4:A199,'Raw Data'!$A$2:$A$200)=0)*('Raw Data'!$A$2:$A$200&lt;&gt;"")),1)),"")</f>
        <v/>
      </c>
      <c r="B200" s="7" t="str">
        <f>IF($A200="","",SUMIFS('Raw Data'!$F:$F,'Raw Data'!$A:$A,$A200,'Raw Data'!$E:$E,B$3))</f>
        <v/>
      </c>
      <c r="C200" s="8" t="str">
        <f>IF($A200="","",SUMIFS('Raw Data'!$J:$J,'Raw Data'!$A:$A,$A200,'Raw Data'!$E:$E,B$3))</f>
        <v/>
      </c>
      <c r="D200" s="7" t="str">
        <f>IF($A200="","",SUMIFS('Raw Data'!$F:$F,'Raw Data'!$A:$A,$A200,'Raw Data'!$E:$E,D$3))</f>
        <v/>
      </c>
      <c r="E200" s="8" t="str">
        <f>IF($A200="","",SUMIFS('Raw Data'!$J:$J,'Raw Data'!$A:$A,$A200,'Raw Data'!$E:$E,D$3))</f>
        <v/>
      </c>
      <c r="F200" s="7" t="str">
        <f>IF($A200="","",SUMIFS('Raw Data'!$F:$F,'Raw Data'!$A:$A,$A200,'Raw Data'!$E:$E,F$3))</f>
        <v/>
      </c>
      <c r="G200" s="8" t="str">
        <f>IF($A200="","",SUMIFS('Raw Data'!$J:$J,'Raw Data'!$A:$A,$A200,'Raw Data'!$E:$E,F$3))</f>
        <v/>
      </c>
      <c r="H200" s="7" t="str">
        <f>IF($A200="","",SUMIFS('Raw Data'!$F:$F,'Raw Data'!$A:$A,$A200,'Raw Data'!$E:$E,H$3))</f>
        <v/>
      </c>
      <c r="I200" s="8" t="str">
        <f>IF($A200="","",SUMIFS('Raw Data'!$J:$J,'Raw Data'!$A:$A,$A200,'Raw Data'!$E:$E,H$3))</f>
        <v/>
      </c>
      <c r="J200" s="9" t="str">
        <f t="shared" si="18"/>
        <v/>
      </c>
      <c r="K200" s="10" t="str">
        <f t="shared" si="19"/>
        <v/>
      </c>
      <c r="L200" s="5" t="str">
        <f t="shared" si="20"/>
        <v/>
      </c>
    </row>
    <row r="201" spans="1:12" x14ac:dyDescent="0.3">
      <c r="A201" s="6" t="str">
        <f>IFERROR(INDEX('Raw Data'!$A$2:$A$200,_xlfn.AGGREGATE(15,6,(ROW('Raw Data'!$A$2:$A$200)-ROW('Raw Data'!$A$2)+1)/((COUNTIF($A$4:A200,'Raw Data'!$A$2:$A$200)=0)*('Raw Data'!$A$2:$A$200&lt;&gt;"")),1)),"")</f>
        <v/>
      </c>
      <c r="B201" s="7" t="str">
        <f>IF($A201="","",SUMIFS('Raw Data'!$F:$F,'Raw Data'!$A:$A,$A201,'Raw Data'!$E:$E,B$3))</f>
        <v/>
      </c>
      <c r="C201" s="8" t="str">
        <f>IF($A201="","",SUMIFS('Raw Data'!$J:$J,'Raw Data'!$A:$A,$A201,'Raw Data'!$E:$E,B$3))</f>
        <v/>
      </c>
      <c r="D201" s="7" t="str">
        <f>IF($A201="","",SUMIFS('Raw Data'!$F:$F,'Raw Data'!$A:$A,$A201,'Raw Data'!$E:$E,D$3))</f>
        <v/>
      </c>
      <c r="E201" s="8" t="str">
        <f>IF($A201="","",SUMIFS('Raw Data'!$J:$J,'Raw Data'!$A:$A,$A201,'Raw Data'!$E:$E,D$3))</f>
        <v/>
      </c>
      <c r="F201" s="7" t="str">
        <f>IF($A201="","",SUMIFS('Raw Data'!$F:$F,'Raw Data'!$A:$A,$A201,'Raw Data'!$E:$E,F$3))</f>
        <v/>
      </c>
      <c r="G201" s="8" t="str">
        <f>IF($A201="","",SUMIFS('Raw Data'!$J:$J,'Raw Data'!$A:$A,$A201,'Raw Data'!$E:$E,F$3))</f>
        <v/>
      </c>
      <c r="H201" s="7" t="str">
        <f>IF($A201="","",SUMIFS('Raw Data'!$F:$F,'Raw Data'!$A:$A,$A201,'Raw Data'!$E:$E,H$3))</f>
        <v/>
      </c>
      <c r="I201" s="8" t="str">
        <f>IF($A201="","",SUMIFS('Raw Data'!$J:$J,'Raw Data'!$A:$A,$A201,'Raw Data'!$E:$E,H$3))</f>
        <v/>
      </c>
      <c r="J201" s="9" t="str">
        <f t="shared" si="18"/>
        <v/>
      </c>
      <c r="K201" s="10" t="str">
        <f t="shared" si="19"/>
        <v/>
      </c>
      <c r="L201" s="5" t="str">
        <f t="shared" si="20"/>
        <v/>
      </c>
    </row>
    <row r="202" spans="1:12" x14ac:dyDescent="0.3">
      <c r="A202" s="6" t="str">
        <f>IFERROR(INDEX('Raw Data'!$A$2:$A$200,_xlfn.AGGREGATE(15,6,(ROW('Raw Data'!$A$2:$A$200)-ROW('Raw Data'!$A$2)+1)/((COUNTIF($A$4:A201,'Raw Data'!$A$2:$A$200)=0)*('Raw Data'!$A$2:$A$200&lt;&gt;"")),1)),"")</f>
        <v/>
      </c>
      <c r="B202" s="7" t="str">
        <f>IF($A202="","",SUMIFS('Raw Data'!$F:$F,'Raw Data'!$A:$A,$A202,'Raw Data'!$E:$E,B$3))</f>
        <v/>
      </c>
      <c r="C202" s="8" t="str">
        <f>IF($A202="","",SUMIFS('Raw Data'!$J:$J,'Raw Data'!$A:$A,$A202,'Raw Data'!$E:$E,B$3))</f>
        <v/>
      </c>
      <c r="D202" s="7" t="str">
        <f>IF($A202="","",SUMIFS('Raw Data'!$F:$F,'Raw Data'!$A:$A,$A202,'Raw Data'!$E:$E,D$3))</f>
        <v/>
      </c>
      <c r="E202" s="8" t="str">
        <f>IF($A202="","",SUMIFS('Raw Data'!$J:$J,'Raw Data'!$A:$A,$A202,'Raw Data'!$E:$E,D$3))</f>
        <v/>
      </c>
      <c r="F202" s="7" t="str">
        <f>IF($A202="","",SUMIFS('Raw Data'!$F:$F,'Raw Data'!$A:$A,$A202,'Raw Data'!$E:$E,F$3))</f>
        <v/>
      </c>
      <c r="G202" s="8" t="str">
        <f>IF($A202="","",SUMIFS('Raw Data'!$J:$J,'Raw Data'!$A:$A,$A202,'Raw Data'!$E:$E,F$3))</f>
        <v/>
      </c>
      <c r="H202" s="7" t="str">
        <f>IF($A202="","",SUMIFS('Raw Data'!$F:$F,'Raw Data'!$A:$A,$A202,'Raw Data'!$E:$E,H$3))</f>
        <v/>
      </c>
      <c r="I202" s="8" t="str">
        <f>IF($A202="","",SUMIFS('Raw Data'!$J:$J,'Raw Data'!$A:$A,$A202,'Raw Data'!$E:$E,H$3))</f>
        <v/>
      </c>
      <c r="J202" s="9" t="str">
        <f t="shared" si="18"/>
        <v/>
      </c>
      <c r="K202" s="10" t="str">
        <f t="shared" si="19"/>
        <v/>
      </c>
      <c r="L202" s="5" t="str">
        <f t="shared" si="20"/>
        <v/>
      </c>
    </row>
    <row r="203" spans="1:12" x14ac:dyDescent="0.3">
      <c r="A203" s="6" t="str">
        <f>IFERROR(INDEX('Raw Data'!$A$2:$A$200,_xlfn.AGGREGATE(15,6,(ROW('Raw Data'!$A$2:$A$200)-ROW('Raw Data'!$A$2)+1)/((COUNTIF($A$4:A202,'Raw Data'!$A$2:$A$200)=0)*('Raw Data'!$A$2:$A$200&lt;&gt;"")),1)),"")</f>
        <v/>
      </c>
      <c r="B203" s="7" t="str">
        <f>IF($A203="","",SUMIFS('Raw Data'!$F:$F,'Raw Data'!$A:$A,$A203,'Raw Data'!$E:$E,B$3))</f>
        <v/>
      </c>
      <c r="C203" s="8" t="str">
        <f>IF($A203="","",SUMIFS('Raw Data'!$J:$J,'Raw Data'!$A:$A,$A203,'Raw Data'!$E:$E,B$3))</f>
        <v/>
      </c>
      <c r="D203" s="7" t="str">
        <f>IF($A203="","",SUMIFS('Raw Data'!$F:$F,'Raw Data'!$A:$A,$A203,'Raw Data'!$E:$E,D$3))</f>
        <v/>
      </c>
      <c r="E203" s="8" t="str">
        <f>IF($A203="","",SUMIFS('Raw Data'!$J:$J,'Raw Data'!$A:$A,$A203,'Raw Data'!$E:$E,D$3))</f>
        <v/>
      </c>
      <c r="F203" s="7" t="str">
        <f>IF($A203="","",SUMIFS('Raw Data'!$F:$F,'Raw Data'!$A:$A,$A203,'Raw Data'!$E:$E,F$3))</f>
        <v/>
      </c>
      <c r="G203" s="8" t="str">
        <f>IF($A203="","",SUMIFS('Raw Data'!$J:$J,'Raw Data'!$A:$A,$A203,'Raw Data'!$E:$E,F$3))</f>
        <v/>
      </c>
      <c r="H203" s="7" t="str">
        <f>IF($A203="","",SUMIFS('Raw Data'!$F:$F,'Raw Data'!$A:$A,$A203,'Raw Data'!$E:$E,H$3))</f>
        <v/>
      </c>
      <c r="I203" s="8" t="str">
        <f>IF($A203="","",SUMIFS('Raw Data'!$J:$J,'Raw Data'!$A:$A,$A203,'Raw Data'!$E:$E,H$3))</f>
        <v/>
      </c>
      <c r="J203" s="9" t="str">
        <f t="shared" si="18"/>
        <v/>
      </c>
      <c r="K203" s="10" t="str">
        <f t="shared" si="19"/>
        <v/>
      </c>
      <c r="L203" s="5" t="str">
        <f t="shared" si="20"/>
        <v/>
      </c>
    </row>
    <row r="204" spans="1:12" x14ac:dyDescent="0.3">
      <c r="A204" s="6" t="str">
        <f>IFERROR(INDEX('Raw Data'!$A$2:$A$200,_xlfn.AGGREGATE(15,6,(ROW('Raw Data'!$A$2:$A$200)-ROW('Raw Data'!$A$2)+1)/((COUNTIF($A$4:A203,'Raw Data'!$A$2:$A$200)=0)*('Raw Data'!$A$2:$A$200&lt;&gt;"")),1)),"")</f>
        <v/>
      </c>
      <c r="B204" s="7" t="str">
        <f>IF($A204="","",SUMIFS('Raw Data'!$F:$F,'Raw Data'!$A:$A,$A204,'Raw Data'!$E:$E,B$3))</f>
        <v/>
      </c>
      <c r="C204" s="8" t="str">
        <f>IF($A204="","",SUMIFS('Raw Data'!$J:$J,'Raw Data'!$A:$A,$A204,'Raw Data'!$E:$E,B$3))</f>
        <v/>
      </c>
      <c r="D204" s="7" t="str">
        <f>IF($A204="","",SUMIFS('Raw Data'!$F:$F,'Raw Data'!$A:$A,$A204,'Raw Data'!$E:$E,D$3))</f>
        <v/>
      </c>
      <c r="E204" s="8" t="str">
        <f>IF($A204="","",SUMIFS('Raw Data'!$J:$J,'Raw Data'!$A:$A,$A204,'Raw Data'!$E:$E,D$3))</f>
        <v/>
      </c>
      <c r="F204" s="7" t="str">
        <f>IF($A204="","",SUMIFS('Raw Data'!$F:$F,'Raw Data'!$A:$A,$A204,'Raw Data'!$E:$E,F$3))</f>
        <v/>
      </c>
      <c r="G204" s="8" t="str">
        <f>IF($A204="","",SUMIFS('Raw Data'!$J:$J,'Raw Data'!$A:$A,$A204,'Raw Data'!$E:$E,F$3))</f>
        <v/>
      </c>
      <c r="H204" s="7" t="str">
        <f>IF($A204="","",SUMIFS('Raw Data'!$F:$F,'Raw Data'!$A:$A,$A204,'Raw Data'!$E:$E,H$3))</f>
        <v/>
      </c>
      <c r="I204" s="8" t="str">
        <f>IF($A204="","",SUMIFS('Raw Data'!$J:$J,'Raw Data'!$A:$A,$A204,'Raw Data'!$E:$E,H$3))</f>
        <v/>
      </c>
      <c r="J204" s="9" t="str">
        <f t="shared" si="18"/>
        <v/>
      </c>
      <c r="K204" s="10" t="str">
        <f t="shared" si="19"/>
        <v/>
      </c>
      <c r="L204" s="5" t="str">
        <f t="shared" si="20"/>
        <v/>
      </c>
    </row>
  </sheetData>
  <mergeCells count="7">
    <mergeCell ref="F3:G3"/>
    <mergeCell ref="A2:L2"/>
    <mergeCell ref="B3:C3"/>
    <mergeCell ref="A3:A4"/>
    <mergeCell ref="A1:L1"/>
    <mergeCell ref="D3:E3"/>
    <mergeCell ref="H3:I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Temperature Distribution</vt:lpstr>
      <vt:lpstr>CH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cp:revision>0</cp:revision>
  <dcterms:created xsi:type="dcterms:W3CDTF">2026-05-13T05:10:41Z</dcterms:created>
  <dcterms:modified xsi:type="dcterms:W3CDTF">2026-05-15T08:12:46Z</dcterms:modified>
  <dc:language>en-US</dc:language>
</cp:coreProperties>
</file>